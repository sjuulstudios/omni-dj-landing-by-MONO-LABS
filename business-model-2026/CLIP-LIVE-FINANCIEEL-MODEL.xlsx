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es" sheetId="2" state="visible" r:id="rId4"/>
    <sheet name="Model A — Current Tiers" sheetId="3" state="visible" r:id="rId5"/>
    <sheet name="Model B — Hybride" sheetId="4" state="visible" r:id="rId6"/>
    <sheet name="Model C — Credits-only" sheetId="5" state="visible" r:id="rId7"/>
    <sheet name="Model D — Freemium + Pro+" sheetId="6" state="visible" r:id="rId8"/>
    <sheet name="Model E — Outcome-based" sheetId="7" state="visible" r:id="rId9"/>
    <sheet name="Vergelijking" sheetId="8" state="visible" r:id="rId10"/>
    <sheet name="Feedback Rewar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<sst xmlns="http://schemas.openxmlformats.org/spreadsheetml/2006/main" count="464" uniqueCount="260">
  <si>
    <t xml:space="preserve">Clip Live — Financieel model per business model</t>
  </si>
  <si>
    <t xml:space="preserve">Versie 1.0 · 2026-05-26 · Voor Sjuul Smits · Vergelijkt 5 SaaS-monetisatiemodellen voor Clip Live</t>
  </si>
  <si>
    <t xml:space="preserve">Wat zit hierin</t>
  </si>
  <si>
    <t xml:space="preserve">Dit Excel-bestand vergelijkt vijf manieren waarop je Clip Live kunt verdienen. Voor elk model staat een aparte sheet met dezelfde</t>
  </si>
  <si>
    <t xml:space="preserve">structuur: gebruikersfunnel (Free → Paid), maandelijkse MRR, churn, cumulatieve omzet over 24 maanden, en LTV / CAC / payback.</t>
  </si>
  <si>
    <t xml:space="preserve">De Vergelijking-sheet zet de uitkomsten naast elkaar zodat je in één oogopslag ziet welk model in welke fase het meest oplevert.</t>
  </si>
  <si>
    <t xml:space="preserve">Hoe lees je de sheets</t>
  </si>
  <si>
    <t xml:space="preserve">• BLAUWE getallen   = inputs die jij mag wijzigen (signups, churn, conversie, prijzen, …)</t>
  </si>
  <si>
    <t xml:space="preserve">• GELE achtergrond  = key assumptions — verandert deze cel en alles in het model herrekent</t>
  </si>
  <si>
    <t xml:space="preserve">• ZWARTE getallen   = formules — niet aanpassen tenzij je weet wat je doet</t>
  </si>
  <si>
    <t xml:space="preserve">• GROENE getallen   = links naar andere sheets</t>
  </si>
  <si>
    <t xml:space="preserve">Hoe gebruik je dit</t>
  </si>
  <si>
    <t xml:space="preserve">1. Open de Assumpties-sheet en pas de globale getallen aan (DJ-doelgroepgrootte, organische groei, churn).</t>
  </si>
  <si>
    <t xml:space="preserve">2. Bekijk elk Model-tabblad — pas de prijzen of conversie aan als je iets anders wilt testen.</t>
  </si>
  <si>
    <t xml:space="preserve">3. Ga naar Vergelijking — zie welk model na maand 6, 12 en 24 het meest oplevert.</t>
  </si>
  <si>
    <t xml:space="preserve">4. Lees de Feedback Rewards-sheet — credit-economie voor gratis users die productfeedback geven.</t>
  </si>
  <si>
    <t xml:space="preserve">De vijf modellen kort</t>
  </si>
  <si>
    <t xml:space="preserve">A. Current Tiers      — je huidige Free/Pro/Studio (€0 · €21,99 · €200). Baseline.</t>
  </si>
  <si>
    <t xml:space="preserve">B. Hybride            — abonnement + extra credit-pack voor piekmaanden. Meest gunstig voor investeerders.</t>
  </si>
  <si>
    <t xml:space="preserve">C. Credits-only       — pure pay-as-you-go, geen abonnement. Lage onboarding-drempel, lage NRR.</t>
  </si>
  <si>
    <t xml:space="preserve">D. Freemium + Pro+    — extra tier tussen Pro en Studio (€49) om mid-market vast te houden.</t>
  </si>
  <si>
    <t xml:space="preserve">E. Outcome-based      — kleine basis + succes-fee per virale clip (&gt;10k views). Trendy bij AI-startups 2026.</t>
  </si>
  <si>
    <t xml:space="preserve">Belangrijk om te weten over de cijfers</t>
  </si>
  <si>
    <t xml:space="preserve">Alle assumpties zijn EVIDENCE-BASED maar het zijn ASSUMPTIES. Bronnen:</t>
  </si>
  <si>
    <t xml:space="preserve">• Freemium baseline 2-5% conversie (Growth Unhinged 2026, Profitwell SaaS Monetization Index)</t>
  </si>
  <si>
    <t xml:space="preserve">• OpusClip / Submagic / Vizard / Captions prijspunten (publiek beschikbaar mei 2026)</t>
  </si>
  <si>
    <t xml:space="preserve">• 43% van SaaS gebruikt hybride pricing, projected 61% eind 2026 (Chargebee State of Subscriptions)</t>
  </si>
  <si>
    <t xml:space="preserve">• ARR-multiples voor exit: 5,5x median publiek / 4-5x privaat, Rule of 40 &gt;50 → 7-9x (SaaS Capital Index Q1 2026)</t>
  </si>
  <si>
    <t xml:space="preserve">Pas de assumpties aan jouw werkelijke pijplijn aan zodra je 30-90 dagen live data hebt.</t>
  </si>
  <si>
    <t xml:space="preserve">Lees ook het bijgeleverde plan-document (CLIP-LIVE-BUSINESS-MODEL-PLAN.docx) — daar staat de strategische context.</t>
  </si>
  <si>
    <t xml:space="preserve">Globale assumpties — pas deze cellen aan voor je eigen scenario</t>
  </si>
  <si>
    <t xml:space="preserve">Blauwe / gele cellen zijn aanpasbaar. Alle Model-tabbladen verwijzen hiernaar.</t>
  </si>
  <si>
    <t xml:space="preserve">Acquisitie &amp; funnel</t>
  </si>
  <si>
    <t xml:space="preserve">Parameter</t>
  </si>
  <si>
    <t xml:space="preserve">Waarde</t>
  </si>
  <si>
    <t xml:space="preserve">Eenheid</t>
  </si>
  <si>
    <t xml:space="preserve">Toelichting / bron</t>
  </si>
  <si>
    <t xml:space="preserve">DJ-doelgroep wereldwijd (TAM, bereikbaar via socials)</t>
  </si>
  <si>
    <t xml:space="preserve">DJs</t>
  </si>
  <si>
    <t xml:space="preserve">Conservatief: Europese semi-pro + pro DJs + producers op TikTok/IG/YT</t>
  </si>
  <si>
    <t xml:space="preserve">Maandelijkse nieuwe Free signups (maand 1)</t>
  </si>
  <si>
    <t xml:space="preserve">users</t>
  </si>
  <si>
    <t xml:space="preserve">Conservatief startaantal — organisch + Sjuul's netwerk</t>
  </si>
  <si>
    <t xml:space="preserve">Maandelijkse groei van signups (compounding)</t>
  </si>
  <si>
    <t xml:space="preserve">%/mnd</t>
  </si>
  <si>
    <t xml:space="preserve">8% MoM = 2,5x in jaar 1, 6x in jaar 2. Pas aan o.b.v. werkelijke groei</t>
  </si>
  <si>
    <t xml:space="preserve">Activeringsratio (Free signup → ≥1 set verwerkt)</t>
  </si>
  <si>
    <t xml:space="preserve">%</t>
  </si>
  <si>
    <t xml:space="preserve">55% standaard voor creator tools; &lt;40% = onboarding probleem</t>
  </si>
  <si>
    <t xml:space="preserve">Free → betaald conversieratio (organisch)</t>
  </si>
  <si>
    <t xml:space="preserve">4% is mediaan voor niche-SaaS (Growth Unhinged 2026)</t>
  </si>
  <si>
    <t xml:space="preserve">Aandeel betaalde users dat Pro kiest</t>
  </si>
  <si>
    <t xml:space="preserve">Pro is veruit het toegankelijkste tier</t>
  </si>
  <si>
    <t xml:space="preserve">Aandeel betaalde users dat Studio kiest</t>
  </si>
  <si>
    <t xml:space="preserve">Studio = labels/venues</t>
  </si>
  <si>
    <t xml:space="preserve">Aandeel betaalde users dat Pro+ kiest (Model D only)</t>
  </si>
  <si>
    <t xml:space="preserve">Wordt herverdeeld vanuit Pro in Model D</t>
  </si>
  <si>
    <t xml:space="preserve">Churn (maandelijks, op betaalde tiers)</t>
  </si>
  <si>
    <t xml:space="preserve">Pro churn (maandelijks)</t>
  </si>
  <si>
    <t xml:space="preserve">10%/mnd = 90-dagen LT. Goed voor SMB-SaaS</t>
  </si>
  <si>
    <t xml:space="preserve">Studio churn (maandelijks)</t>
  </si>
  <si>
    <t xml:space="preserve">Studio = stickier, hogere commitment</t>
  </si>
  <si>
    <t xml:space="preserve">Pro+ churn (Model D)</t>
  </si>
  <si>
    <t xml:space="preserve">Tussen Pro en Studio in</t>
  </si>
  <si>
    <t xml:space="preserve">Credit-pack repeat-purchase</t>
  </si>
  <si>
    <t xml:space="preserve">Welk % van credit-kopers koopt opnieuw die maand (Model B+C)</t>
  </si>
  <si>
    <t xml:space="preserve">Pricing per tier (EUR per maand, excl. BTW)</t>
  </si>
  <si>
    <t xml:space="preserve">Tier / item</t>
  </si>
  <si>
    <t xml:space="preserve">Toelichting</t>
  </si>
  <si>
    <t xml:space="preserve">Pro abonnement</t>
  </si>
  <si>
    <t xml:space="preserve">EUR/mnd</t>
  </si>
  <si>
    <t xml:space="preserve">Huidige prijs (Stripe Test mode)</t>
  </si>
  <si>
    <t xml:space="preserve">Studio abonnement</t>
  </si>
  <si>
    <t xml:space="preserve">Pro+ abonnement (Model D)</t>
  </si>
  <si>
    <t xml:space="preserve">Voorgestelde mid-tier</t>
  </si>
  <si>
    <t xml:space="preserve">Credit-pack (10 extra clips)</t>
  </si>
  <si>
    <t xml:space="preserve">EUR/pack</t>
  </si>
  <si>
    <t xml:space="preserve">Voor Model B + C</t>
  </si>
  <si>
    <t xml:space="preserve">Outcome-fee per virale clip</t>
  </si>
  <si>
    <t xml:space="preserve">EUR/clip</t>
  </si>
  <si>
    <t xml:space="preserve">Model E — clip &gt;10k views</t>
  </si>
  <si>
    <t xml:space="preserve">Basis-fee Outcome model</t>
  </si>
  <si>
    <t xml:space="preserve">Model E — basis-abonnement</t>
  </si>
  <si>
    <t xml:space="preserve">Kosten &amp; marges</t>
  </si>
  <si>
    <t xml:space="preserve">Post</t>
  </si>
  <si>
    <t xml:space="preserve">Stripe transactiekosten</t>
  </si>
  <si>
    <t xml:space="preserve">% + €0,25</t>
  </si>
  <si>
    <t xml:space="preserve">Standaard EU</t>
  </si>
  <si>
    <t xml:space="preserve">Stripe vaste fee per transactie</t>
  </si>
  <si>
    <t xml:space="preserve">EUR</t>
  </si>
  <si>
    <t xml:space="preserve">Per geslaagde betaling</t>
  </si>
  <si>
    <t xml:space="preserve">Supabase + Cloudflare (vast)</t>
  </si>
  <si>
    <t xml:space="preserve">Geldt tot ~50k users</t>
  </si>
  <si>
    <t xml:space="preserve">Customer support per Pro-user</t>
  </si>
  <si>
    <t xml:space="preserve">E-mail / tickets</t>
  </si>
  <si>
    <t xml:space="preserve">Customer support per Studio</t>
  </si>
  <si>
    <t xml:space="preserve">Hogere SLA-verwachting</t>
  </si>
  <si>
    <t xml:space="preserve">CAC organisch (per nieuwe paid)</t>
  </si>
  <si>
    <t xml:space="preserve">EUR/conversion</t>
  </si>
  <si>
    <t xml:space="preserve">Tijd-equivalent Sjuul</t>
  </si>
  <si>
    <t xml:space="preserve">CAC paid ads (alt scenario)</t>
  </si>
  <si>
    <t xml:space="preserve">Indicatie als je ads gaat draaien</t>
  </si>
  <si>
    <t xml:space="preserve">Model A — Current Tiers (Free / Pro €21,99 / Studio €200)</t>
  </si>
  <si>
    <t xml:space="preserve">Alle blauwe cellen op de Assumpties-sheet sturen dit model aan. MRR-rij = recurring; CumRev = totaal sinds maand 1.</t>
  </si>
  <si>
    <t xml:space="preserve">Maand →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</si>
  <si>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</si>
  <si>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</si>
  <si>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</si>
  <si>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</si>
  <si>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</si>
  <si>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</si>
  <si>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</si>
  <si>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</si>
  <si>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</si>
  <si>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</si>
  <si>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</si>
  <si>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</si>
  <si>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</si>
  <si>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</si>
  <si>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</si>
  <si>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</si>
  <si>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</si>
  <si>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</si>
  <si>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</si>
  <si>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</si>
  <si>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</si>
  <si>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</si>
  <si>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</si>
  <si>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</si>
  <si>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Acquisitie funnel</t>
  </si>
  <si>
    <t xml:space="preserve">Nieuwe Free signups (per maand)</t>
  </si>
  <si>
    <t xml:space="preserve">Cumulatieve Free signups</t>
  </si>
  <si>
    <t xml:space="preserve">Actieve Free users (na activatie)</t>
  </si>
  <si>
    <t xml:space="preserve">Nieuwe paid conversions (per maand)</t>
  </si>
  <si>
    <t xml:space="preserve">Tier-mix: Pro 85% / Studio 10% / Free-only 5%</t>
  </si>
  <si>
    <t xml:space="preserve">Nieuwe Pro klanten (per maand)</t>
  </si>
  <si>
    <t xml:space="preserve">Actieve Pro klanten</t>
  </si>
  <si>
    <t xml:space="preserve">Nieuwe Studio klanten (per maand)</t>
  </si>
  <si>
    <t xml:space="preserve">Actieve Studio klanten</t>
  </si>
  <si>
    <t xml:space="preserve">Omzet per maand (EUR)</t>
  </si>
  <si>
    <t xml:space="preserve">Pro MRR</t>
  </si>
  <si>
    <t xml:space="preserve">Studio MRR</t>
  </si>
  <si>
    <t xml:space="preserve">Totaal MRR</t>
  </si>
  <si>
    <t xml:space="preserve">Cumulatieve omzet</t>
  </si>
  <si>
    <t xml:space="preserve">Kosten &amp; netto winst (EUR)</t>
  </si>
  <si>
    <t xml:space="preserve">Stripe fees</t>
  </si>
  <si>
    <t xml:space="preserve">Support kosten</t>
  </si>
  <si>
    <t xml:space="preserve">Vaste platformkosten</t>
  </si>
  <si>
    <t xml:space="preserve">CAC (organic) — alleen nieuwe paid</t>
  </si>
  <si>
    <t xml:space="preserve">Netto winst per maand</t>
  </si>
  <si>
    <t xml:space="preserve">Cumulatieve winst</t>
  </si>
  <si>
    <t xml:space="preserve">Unit economics</t>
  </si>
  <si>
    <t xml:space="preserve">ARPU (M24, EUR/mnd)</t>
  </si>
  <si>
    <t xml:space="preserve">Gem. LT Pro (mnd)</t>
  </si>
  <si>
    <t xml:space="preserve">LTV Pro (EUR)</t>
  </si>
  <si>
    <t xml:space="preserve">LTV Studio (EUR)</t>
  </si>
  <si>
    <t xml:space="preserve">LTV / CAC (Pro)</t>
  </si>
  <si>
    <t xml:space="preserve">Payback Pro (mnd)</t>
  </si>
  <si>
    <t xml:space="preserve">Model B — Hybride (Sub + Credit-pack upsell)</t>
  </si>
  <si>
    <t xml:space="preserve">Tier-mix idem A + credit-pack upsell op Pro-users</t>
  </si>
  <si>
    <t xml:space="preserve">Nieuwe Pro klanten</t>
  </si>
  <si>
    <t xml:space="preserve">Nieuwe Studio klanten</t>
  </si>
  <si>
    <t xml:space="preserve">Credit-pack upsell (€9,99 = 10 extra clips)</t>
  </si>
  <si>
    <t xml:space="preserve">Credit-pack kopers per maand (40% van Pro)</t>
  </si>
  <si>
    <t xml:space="preserve">Credit-pack omzet</t>
  </si>
  <si>
    <t xml:space="preserve">Totaal omzet (MRR + packs)</t>
  </si>
  <si>
    <t xml:space="preserve">Netto winst</t>
  </si>
  <si>
    <t xml:space="preserve">Support</t>
  </si>
  <si>
    <t xml:space="preserve">CAC</t>
  </si>
  <si>
    <t xml:space="preserve">Model C — Credits-only (pure pay-as-you-go)</t>
  </si>
  <si>
    <t xml:space="preserve">Geen abonnement — alleen credit-packs (€9,99 per 10 clips)</t>
  </si>
  <si>
    <t xml:space="preserve">Actieve credit-kopers (laatste 30 dagen)</t>
  </si>
  <si>
    <t xml:space="preserve">Gem. packs per actieve klant (per maand)</t>
  </si>
  <si>
    <t xml:space="preserve">Totaal credit-packs verkocht</t>
  </si>
  <si>
    <t xml:space="preserve">Omzet (EUR)</t>
  </si>
  <si>
    <t xml:space="preserve">Totaal omzet</t>
  </si>
  <si>
    <t xml:space="preserve">Support (lichter, geen sub)</t>
  </si>
  <si>
    <t xml:space="preserve">Model D — Freemium + Pro+ (mid-tier)</t>
  </si>
  <si>
    <t xml:space="preserve">3 betaalde tiers: Pro €21,99 (55%) / Pro+ €49 (30%) / Studio €200 (15%)</t>
  </si>
  <si>
    <t xml:space="preserve">Nieuwe Pro klanten (55% van paid)</t>
  </si>
  <si>
    <t xml:space="preserve">Nieuwe Pro+ klanten (30%)</t>
  </si>
  <si>
    <t xml:space="preserve">Actieve Pro+ klanten</t>
  </si>
  <si>
    <t xml:space="preserve">Nieuwe Studio klanten (15%)</t>
  </si>
  <si>
    <t xml:space="preserve">Omzet</t>
  </si>
  <si>
    <t xml:space="preserve">Pro+ MRR</t>
  </si>
  <si>
    <t xml:space="preserve">Model E — Outcome-based (basis €4,99 + €2,50/virale clip)</t>
  </si>
  <si>
    <t xml:space="preserve">Basis €4,99 + €2,50 per virale clip (&gt;10k views). Hogere conversie verwacht.</t>
  </si>
  <si>
    <t xml:space="preserve">Nieuwe paid (2x baseline door lage instap)</t>
  </si>
  <si>
    <t xml:space="preserve">Actieve abonnees (8% churn)</t>
  </si>
  <si>
    <t xml:space="preserve">Gem. virale clips per actieve abonnee/mnd</t>
  </si>
  <si>
    <t xml:space="preserve">Totaal virale clips (fee-triggering)</t>
  </si>
  <si>
    <t xml:space="preserve">Basis-fee omzet</t>
  </si>
  <si>
    <t xml:space="preserve">Outcome-fee omzet</t>
  </si>
  <si>
    <t xml:space="preserve">View-tracking infra (per actieve)</t>
  </si>
  <si>
    <t xml:space="preserve">Vergelijking — welk model levert wanneer het meest op?</t>
  </si>
  <si>
    <t xml:space="preserve">Alle bedragen in EUR. Cijfers verwijzen direct naar de Model-sheets — pas Assumpties aan en alles herrekent.</t>
  </si>
  <si>
    <t xml:space="preserve">Metric</t>
  </si>
  <si>
    <t xml:space="preserve">A: Current</t>
  </si>
  <si>
    <t xml:space="preserve">B: Hybride</t>
  </si>
  <si>
    <t xml:space="preserve">C: Credits</t>
  </si>
  <si>
    <t xml:space="preserve">D: Pro+</t>
  </si>
  <si>
    <t xml:space="preserve">E: Outcome</t>
  </si>
  <si>
    <t xml:space="preserve">MRR / Total Revenue maand 6</t>
  </si>
  <si>
    <t xml:space="preserve">MRR / Total Revenue maand 12</t>
  </si>
  <si>
    <t xml:space="preserve">MRR / Total Revenue maand 24</t>
  </si>
  <si>
    <t xml:space="preserve">Cum. omzet eind jaar 1 (M12)</t>
  </si>
  <si>
    <t xml:space="preserve">Cum. omzet eind jaar 2 (M24)</t>
  </si>
  <si>
    <t xml:space="preserve">Cum. winst eind jaar 1</t>
  </si>
  <si>
    <t xml:space="preserve">Cum. winst eind jaar 2</t>
  </si>
  <si>
    <t xml:space="preserve">Netto winstmarge maand 24</t>
  </si>
  <si>
    <t xml:space="preserve">Korte vs. lange termijn — beste keuze per fase</t>
  </si>
  <si>
    <t xml:space="preserve">Fase / scenario</t>
  </si>
  <si>
    <t xml:space="preserve">Aanbeveling</t>
  </si>
  <si>
    <t xml:space="preserve">Maand 0-3 (snelle revenue)</t>
  </si>
  <si>
    <t xml:space="preserve">Model B — hybride. Behoudt €21,99-prijspunt + credit-packs vangen pieken op. Geen breaking change voor huidige users.</t>
  </si>
  <si>
    <t xml:space="preserve">Maand 3-12 (scale, lifestyle target)</t>
  </si>
  <si>
    <t xml:space="preserve">Model D — Pro+ tier vangt mid-market. ARPU stijgt 25-40% zonder churn-risico op Pro.</t>
  </si>
  <si>
    <t xml:space="preserve">Maand 12-24 (investor-ready / Series A)</t>
  </si>
  <si>
    <t xml:space="preserve">Model B of D — investeerders waarderen voorspelbare recurring revenue + uplift via expansion (NRR&gt;120%).</t>
  </si>
  <si>
    <t xml:space="preserve">Experiment (op zijspoor)</t>
  </si>
  <si>
    <t xml:space="preserve">Model E — outcome-based als referrabel verhaal voor PR/investeerders, maar vereist view-tracking infra (Phase 6+).</t>
  </si>
  <si>
    <t xml:space="preserve">Te vermijden</t>
  </si>
  <si>
    <t xml:space="preserve">Model C — pure credits. Geen NRR, lage valuation-multiple, mass-market alleen zinvol bij 10k+ MAU.</t>
  </si>
  <si>
    <t xml:space="preserve">Feedback-rewards economie</t>
  </si>
  <si>
    <t xml:space="preserve">Hoe duur is het om gebruikers credits te geven voor feedback? En wat levert het op?</t>
  </si>
  <si>
    <t xml:space="preserve">Programma-design</t>
  </si>
  <si>
    <t xml:space="preserve">Programma</t>
  </si>
  <si>
    <t xml:space="preserve">Geef Free-users 1 extra set credit voor een ingestuurde feedback-form (max 1/30dgn). Pro-users: 2 extra sets of €5 korting op volgend pack.</t>
  </si>
  <si>
    <t xml:space="preserve">Doel</t>
  </si>
  <si>
    <t xml:space="preserve">(1) Productinsights, (2) Free→Paid conversie verhogen, (3) Loyale community bouwen waaruit ambassadors voortkomen.</t>
  </si>
  <si>
    <t xml:space="preserve">Mechaniek</t>
  </si>
  <si>
    <t xml:space="preserve">In-app widget na clip-export ('Wat ging er goed/mis?'). Beloning automatisch toegekend bij ≥3 zinnen + categorie-tag.</t>
  </si>
  <si>
    <t xml:space="preserve">Frictie laag</t>
  </si>
  <si>
    <t xml:space="preserve">Geen formulier-pagina; inline form direct in editor. Closed-loop: Sjuul reageert binnen 14 dgn (research toont dit verdubbelt deelnamerate).</t>
  </si>
  <si>
    <t xml:space="preserve">Kosten-baten model</t>
  </si>
  <si>
    <t xml:space="preserve">Actieve Free users na maand 6 (lookup)</t>
  </si>
  <si>
    <t xml:space="preserve">Komt uit Model B regel 'Actieve Free users'</t>
  </si>
  <si>
    <t xml:space="preserve">Deelnameratio aan feedback-programma</t>
  </si>
  <si>
    <t xml:space="preserve">15% is bovenwaarde — research zegt 5-20% bij gerichte triggers</t>
  </si>
  <si>
    <t xml:space="preserve">Aantal feedback-submissions / maand</t>
  </si>
  <si>
    <t xml:space="preserve">subm.</t>
  </si>
  <si>
    <t xml:space="preserve">Berekend</t>
  </si>
  <si>
    <t xml:space="preserve">Beloning per Free submission (in credits)</t>
  </si>
  <si>
    <t xml:space="preserve">set</t>
  </si>
  <si>
    <t xml:space="preserve">Marginale kostprijs ≈ €0 (lokale processing)</t>
  </si>
  <si>
    <t xml:space="preserve">Geschatte kostprijs per Free credit</t>
  </si>
  <si>
    <t xml:space="preserve">Stripe/Supabase overhead per extra job</t>
  </si>
  <si>
    <t xml:space="preserve">Totale kosten van programma (per maand)</t>
  </si>
  <si>
    <t xml:space="preserve">Conversie-uplift Free→Paid door programma</t>
  </si>
  <si>
    <t xml:space="preserve">+30% conversie bij actieve deelnemers (Userpilot 2026)</t>
  </si>
  <si>
    <t xml:space="preserve">Extra paid conversies per maand</t>
  </si>
  <si>
    <t xml:space="preserve">Extra MRR-uplift (EUR/mnd, Pro-prijs)</t>
  </si>
  <si>
    <t xml:space="preserve">ROI van het programma</t>
  </si>
  <si>
    <t xml:space="preserve">x</t>
  </si>
  <si>
    <t xml:space="preserve">Berekend (uplift / kosten)</t>
  </si>
  <si>
    <t xml:space="preserve">1. Start klein: 1 credit per submission, max 1/30dgn per user — voorkomt feedback-spam.</t>
  </si>
  <si>
    <t xml:space="preserve">2. Closed-loop is verplicht: laat zien wat met feedback gebeurde (changelog-link in app).</t>
  </si>
  <si>
    <t xml:space="preserve">3. Bouw een 'Beta Council' uit top-10 feedback-gevers: free Studio voor 6 mnd in ruil voor 1 video-call/mnd. Levert kwalitatieve insights zonder geld uit te geven.</t>
  </si>
  <si>
    <t xml:space="preserve">4. Bij €5k MRR: upgrade naar gift-cards / Spotify Premium / Pioneer-DJ kortingen via partnership (advocaten worden ambassadeurs).</t>
  </si>
  <si>
    <t xml:space="preserve">5. Vermijd cash-rewards onder €5k MRR — fiscaal gedoe + signaleert dat je beloning belangrijker vindt dan de feedback zelf.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</si>
</sst>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€#,##0.00;&quot;(€&quot;#,##0.00\);\-"/>
    <numFmt numFmtId="168" formatCode="\€#,##0;&quot;(€&quot;#,##0\);\-"/>
    <numFmt numFmtId="169" formatCode="0.0"/>
    <numFmt numFmtId="170" formatCode="0.0\x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1503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150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E150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CF8A"/>
        <bgColor rgb="FFD6D2CB"/>
      </patternFill>
    </fill>
    <fill>
      <patternFill patternType="solid">
        <fgColor rgb="FFC2864A"/>
        <bgColor rgb="FFFF8080"/>
      </patternFill>
    </fill>
    <fill>
      <patternFill patternType="solid">
        <fgColor rgb="FFFFF8E7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2CB"/>
      </left>
      <right style="thin">
        <color rgb="FFD6D2CB"/>
      </right>
      <top style="thin">
        <color rgb="FFD6D2CB"/>
      </top>
      <bottom style="thin">
        <color rgb="FFD6D2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CCFFFF"/>
      <rgbColor rgb="FF660066"/>
      <rgbColor rgb="FFFF8080"/>
      <rgbColor rgb="FF0066CC"/>
      <rgbColor rgb="FFD6D2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F8A"/>
      <rgbColor rgb="FF3366FF"/>
      <rgbColor rgb="FF33CCCC"/>
      <rgbColor rgb="FF99CC00"/>
      <rgbColor rgb="FFFFCC00"/>
      <rgbColor rgb="FFFF9900"/>
      <rgbColor rgb="FFFF6600"/>
      <rgbColor rgb="FF6B6B6B"/>
      <rgbColor rgb="FFC2864A"/>
      <rgbColor rgb="FF003366"/>
      <rgbColor rgb="FF339966"/>
      <rgbColor rgb="FF003300"/>
      <rgbColor rgb="FF2E150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23.85" hidden="false" customHeight="false" outlineLevel="0" collapsed="false">
      <c r="B5" s="4" t="s">
        <v>3</v>
      </c>
    </row>
    <row r="6" customFormat="false" ht="23.8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4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3" t="s">
        <v>24</v>
      </c>
    </row>
    <row r="31" customFormat="false" ht="15" hidden="false" customHeight="false" outlineLevel="0" collapsed="false">
      <c r="B31" s="3" t="s">
        <v>25</v>
      </c>
    </row>
    <row r="32" customFormat="false" ht="15" hidden="false" customHeight="false" outlineLevel="0" collapsed="false">
      <c r="B32" s="3" t="s">
        <v>26</v>
      </c>
    </row>
    <row r="33" customFormat="false" ht="15" hidden="false" customHeight="false" outlineLevel="0" collapsed="false">
      <c r="B33" s="3" t="s">
        <v>27</v>
      </c>
    </row>
    <row r="34" customFormat="false" ht="1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3"/>
    </row>
    <row r="36" customFormat="false" ht="23.85" hidden="false" customHeight="false" outlineLevel="0" collapsed="false">
      <c r="B36" s="4" t="s">
        <v>29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24" hidden="false" customHeight="true" outlineLevel="0" collapsed="false">
      <c r="A1" s="1" t="s">
        <v>30</v>
      </c>
      <c r="B1" s="1"/>
      <c r="C1" s="1"/>
      <c r="D1" s="1"/>
      <c r="E1" s="1"/>
    </row>
    <row r="2" customFormat="false" ht="22.35" hidden="false" customHeight="false" outlineLevel="0" collapsed="false">
      <c r="B2" s="5" t="s">
        <v>31</v>
      </c>
    </row>
    <row r="4" customFormat="false" ht="18" hidden="false" customHeight="true" outlineLevel="0" collapsed="false">
      <c r="A4" s="6" t="s">
        <v>32</v>
      </c>
      <c r="B4" s="6"/>
      <c r="C4" s="6"/>
      <c r="D4" s="6"/>
      <c r="E4" s="6"/>
    </row>
    <row r="5" customFormat="false" ht="21.75" hidden="false" customHeight="true" outlineLevel="0" collapsed="false">
      <c r="A5" s="7"/>
      <c r="B5" s="7" t="s">
        <v>33</v>
      </c>
      <c r="C5" s="7" t="s">
        <v>34</v>
      </c>
      <c r="D5" s="7" t="s">
        <v>35</v>
      </c>
      <c r="E5" s="7" t="s">
        <v>36</v>
      </c>
    </row>
    <row r="6" customFormat="false" ht="15" hidden="false" customHeight="false" outlineLevel="0" collapsed="false">
      <c r="B6" s="8" t="s">
        <v>37</v>
      </c>
      <c r="C6" s="9" t="n">
        <v>100000</v>
      </c>
      <c r="D6" s="2" t="s">
        <v>38</v>
      </c>
      <c r="E6" s="5" t="s">
        <v>39</v>
      </c>
    </row>
    <row r="7" customFormat="false" ht="15" hidden="false" customHeight="false" outlineLevel="0" collapsed="false">
      <c r="B7" s="8" t="s">
        <v>40</v>
      </c>
      <c r="C7" s="10" t="n">
        <v>30</v>
      </c>
      <c r="D7" s="2" t="s">
        <v>41</v>
      </c>
      <c r="E7" s="5" t="s">
        <v>42</v>
      </c>
    </row>
    <row r="8" customFormat="false" ht="15" hidden="false" customHeight="false" outlineLevel="0" collapsed="false">
      <c r="B8" s="8" t="s">
        <v>43</v>
      </c>
      <c r="C8" s="11" t="n">
        <v>0.08</v>
      </c>
      <c r="D8" s="2" t="s">
        <v>44</v>
      </c>
      <c r="E8" s="5" t="s">
        <v>45</v>
      </c>
    </row>
    <row r="9" customFormat="false" ht="15" hidden="false" customHeight="false" outlineLevel="0" collapsed="false">
      <c r="B9" s="8" t="s">
        <v>46</v>
      </c>
      <c r="C9" s="12" t="n">
        <v>0.55</v>
      </c>
      <c r="D9" s="2" t="s">
        <v>47</v>
      </c>
      <c r="E9" s="5" t="s">
        <v>48</v>
      </c>
    </row>
    <row r="10" customFormat="false" ht="15" hidden="false" customHeight="false" outlineLevel="0" collapsed="false">
      <c r="B10" s="8" t="s">
        <v>49</v>
      </c>
      <c r="C10" s="12" t="n">
        <v>0.04</v>
      </c>
      <c r="D10" s="2" t="s">
        <v>47</v>
      </c>
      <c r="E10" s="5" t="s">
        <v>50</v>
      </c>
    </row>
    <row r="11" customFormat="false" ht="15" hidden="false" customHeight="false" outlineLevel="0" collapsed="false">
      <c r="B11" s="8" t="s">
        <v>51</v>
      </c>
      <c r="C11" s="11" t="n">
        <v>0.85</v>
      </c>
      <c r="D11" s="2" t="s">
        <v>47</v>
      </c>
      <c r="E11" s="5" t="s">
        <v>52</v>
      </c>
    </row>
    <row r="12" customFormat="false" ht="15" hidden="false" customHeight="false" outlineLevel="0" collapsed="false">
      <c r="B12" s="8" t="s">
        <v>53</v>
      </c>
      <c r="C12" s="11" t="n">
        <v>0.1</v>
      </c>
      <c r="D12" s="2" t="s">
        <v>47</v>
      </c>
      <c r="E12" s="5" t="s">
        <v>54</v>
      </c>
    </row>
    <row r="13" customFormat="false" ht="15" hidden="false" customHeight="false" outlineLevel="0" collapsed="false">
      <c r="B13" s="8" t="s">
        <v>55</v>
      </c>
      <c r="C13" s="11" t="n">
        <v>0.3</v>
      </c>
      <c r="D13" s="2" t="s">
        <v>47</v>
      </c>
      <c r="E13" s="5" t="s">
        <v>56</v>
      </c>
    </row>
    <row r="15" customFormat="false" ht="18" hidden="false" customHeight="true" outlineLevel="0" collapsed="false">
      <c r="A15" s="6" t="s">
        <v>57</v>
      </c>
      <c r="B15" s="6"/>
      <c r="C15" s="6"/>
      <c r="D15" s="6"/>
      <c r="E15" s="6"/>
    </row>
    <row r="16" customFormat="false" ht="21.75" hidden="false" customHeight="true" outlineLevel="0" collapsed="false">
      <c r="A16" s="7"/>
      <c r="B16" s="7" t="s">
        <v>33</v>
      </c>
      <c r="C16" s="7" t="s">
        <v>34</v>
      </c>
      <c r="D16" s="7" t="s">
        <v>35</v>
      </c>
      <c r="E16" s="7" t="s">
        <v>36</v>
      </c>
    </row>
    <row r="17" customFormat="false" ht="15" hidden="false" customHeight="false" outlineLevel="0" collapsed="false">
      <c r="B17" s="8" t="s">
        <v>58</v>
      </c>
      <c r="C17" s="12" t="n">
        <v>0.1</v>
      </c>
      <c r="D17" s="2" t="s">
        <v>44</v>
      </c>
      <c r="E17" s="5" t="s">
        <v>59</v>
      </c>
    </row>
    <row r="18" customFormat="false" ht="15" hidden="false" customHeight="false" outlineLevel="0" collapsed="false">
      <c r="B18" s="8" t="s">
        <v>60</v>
      </c>
      <c r="C18" s="11" t="n">
        <v>0.05</v>
      </c>
      <c r="D18" s="2" t="s">
        <v>44</v>
      </c>
      <c r="E18" s="5" t="s">
        <v>61</v>
      </c>
    </row>
    <row r="19" customFormat="false" ht="15" hidden="false" customHeight="false" outlineLevel="0" collapsed="false">
      <c r="B19" s="8" t="s">
        <v>62</v>
      </c>
      <c r="C19" s="11" t="n">
        <v>0.08</v>
      </c>
      <c r="D19" s="2" t="s">
        <v>44</v>
      </c>
      <c r="E19" s="5" t="s">
        <v>63</v>
      </c>
    </row>
    <row r="20" customFormat="false" ht="15" hidden="false" customHeight="false" outlineLevel="0" collapsed="false">
      <c r="B20" s="8" t="s">
        <v>64</v>
      </c>
      <c r="C20" s="11" t="n">
        <v>0.4</v>
      </c>
      <c r="D20" s="2" t="s">
        <v>44</v>
      </c>
      <c r="E20" s="5" t="s">
        <v>65</v>
      </c>
    </row>
    <row r="22" customFormat="false" ht="18" hidden="false" customHeight="true" outlineLevel="0" collapsed="false">
      <c r="A22" s="6" t="s">
        <v>66</v>
      </c>
      <c r="B22" s="6"/>
      <c r="C22" s="6"/>
      <c r="D22" s="6"/>
      <c r="E22" s="6"/>
    </row>
    <row r="23" customFormat="false" ht="21.75" hidden="false" customHeight="true" outlineLevel="0" collapsed="false">
      <c r="A23" s="7"/>
      <c r="B23" s="7" t="s">
        <v>67</v>
      </c>
      <c r="C23" s="7" t="s">
        <v>34</v>
      </c>
      <c r="D23" s="7" t="s">
        <v>35</v>
      </c>
      <c r="E23" s="7" t="s">
        <v>68</v>
      </c>
    </row>
    <row r="24" customFormat="false" ht="15" hidden="false" customHeight="false" outlineLevel="0" collapsed="false">
      <c r="B24" s="8" t="s">
        <v>69</v>
      </c>
      <c r="C24" s="13" t="n">
        <v>21.99</v>
      </c>
      <c r="D24" s="2" t="s">
        <v>70</v>
      </c>
      <c r="E24" s="5" t="s">
        <v>71</v>
      </c>
    </row>
    <row r="25" customFormat="false" ht="15" hidden="false" customHeight="false" outlineLevel="0" collapsed="false">
      <c r="B25" s="8" t="s">
        <v>72</v>
      </c>
      <c r="C25" s="13" t="n">
        <v>200</v>
      </c>
      <c r="D25" s="2" t="s">
        <v>70</v>
      </c>
      <c r="E25" s="5" t="s">
        <v>71</v>
      </c>
    </row>
    <row r="26" customFormat="false" ht="15" hidden="false" customHeight="false" outlineLevel="0" collapsed="false">
      <c r="B26" s="8" t="s">
        <v>73</v>
      </c>
      <c r="C26" s="13" t="n">
        <v>49</v>
      </c>
      <c r="D26" s="2" t="s">
        <v>70</v>
      </c>
      <c r="E26" s="5" t="s">
        <v>74</v>
      </c>
    </row>
    <row r="27" customFormat="false" ht="15" hidden="false" customHeight="false" outlineLevel="0" collapsed="false">
      <c r="B27" s="8" t="s">
        <v>75</v>
      </c>
      <c r="C27" s="13" t="n">
        <v>9.99</v>
      </c>
      <c r="D27" s="2" t="s">
        <v>76</v>
      </c>
      <c r="E27" s="5" t="s">
        <v>77</v>
      </c>
    </row>
    <row r="28" customFormat="false" ht="15" hidden="false" customHeight="false" outlineLevel="0" collapsed="false">
      <c r="B28" s="8" t="s">
        <v>78</v>
      </c>
      <c r="C28" s="13" t="n">
        <v>2.5</v>
      </c>
      <c r="D28" s="2" t="s">
        <v>79</v>
      </c>
      <c r="E28" s="5" t="s">
        <v>80</v>
      </c>
    </row>
    <row r="29" customFormat="false" ht="15" hidden="false" customHeight="false" outlineLevel="0" collapsed="false">
      <c r="B29" s="8" t="s">
        <v>81</v>
      </c>
      <c r="C29" s="13" t="n">
        <v>4.99</v>
      </c>
      <c r="D29" s="2" t="s">
        <v>70</v>
      </c>
      <c r="E29" s="5" t="s">
        <v>82</v>
      </c>
    </row>
    <row r="31" customFormat="false" ht="18" hidden="false" customHeight="true" outlineLevel="0" collapsed="false">
      <c r="A31" s="6" t="s">
        <v>83</v>
      </c>
      <c r="B31" s="6"/>
      <c r="C31" s="6"/>
      <c r="D31" s="6"/>
      <c r="E31" s="6"/>
    </row>
    <row r="32" customFormat="false" ht="21.75" hidden="false" customHeight="true" outlineLevel="0" collapsed="false">
      <c r="A32" s="7"/>
      <c r="B32" s="7" t="s">
        <v>84</v>
      </c>
      <c r="C32" s="7" t="s">
        <v>34</v>
      </c>
      <c r="D32" s="7" t="s">
        <v>35</v>
      </c>
      <c r="E32" s="7" t="s">
        <v>68</v>
      </c>
    </row>
    <row r="33" customFormat="false" ht="15" hidden="false" customHeight="false" outlineLevel="0" collapsed="false">
      <c r="B33" s="8" t="s">
        <v>85</v>
      </c>
      <c r="C33" s="11" t="n">
        <v>0.029</v>
      </c>
      <c r="D33" s="2" t="s">
        <v>86</v>
      </c>
      <c r="E33" s="5" t="s">
        <v>87</v>
      </c>
    </row>
    <row r="34" customFormat="false" ht="15" hidden="false" customHeight="false" outlineLevel="0" collapsed="false">
      <c r="B34" s="8" t="s">
        <v>88</v>
      </c>
      <c r="C34" s="13" t="n">
        <v>0.25</v>
      </c>
      <c r="D34" s="2" t="s">
        <v>89</v>
      </c>
      <c r="E34" s="5" t="s">
        <v>90</v>
      </c>
    </row>
    <row r="35" customFormat="false" ht="15" hidden="false" customHeight="false" outlineLevel="0" collapsed="false">
      <c r="B35" s="8" t="s">
        <v>91</v>
      </c>
      <c r="C35" s="13" t="n">
        <v>25</v>
      </c>
      <c r="D35" s="2" t="s">
        <v>70</v>
      </c>
      <c r="E35" s="5" t="s">
        <v>92</v>
      </c>
    </row>
    <row r="36" customFormat="false" ht="15" hidden="false" customHeight="false" outlineLevel="0" collapsed="false">
      <c r="B36" s="8" t="s">
        <v>93</v>
      </c>
      <c r="C36" s="13" t="n">
        <v>0.5</v>
      </c>
      <c r="D36" s="2" t="s">
        <v>70</v>
      </c>
      <c r="E36" s="5" t="s">
        <v>94</v>
      </c>
    </row>
    <row r="37" customFormat="false" ht="15" hidden="false" customHeight="false" outlineLevel="0" collapsed="false">
      <c r="B37" s="8" t="s">
        <v>95</v>
      </c>
      <c r="C37" s="13" t="n">
        <v>5</v>
      </c>
      <c r="D37" s="2" t="s">
        <v>70</v>
      </c>
      <c r="E37" s="5" t="s">
        <v>96</v>
      </c>
    </row>
    <row r="38" customFormat="false" ht="15" hidden="false" customHeight="false" outlineLevel="0" collapsed="false">
      <c r="B38" s="8" t="s">
        <v>97</v>
      </c>
      <c r="C38" s="13" t="n">
        <v>8</v>
      </c>
      <c r="D38" s="2" t="s">
        <v>98</v>
      </c>
      <c r="E38" s="5" t="s">
        <v>99</v>
      </c>
    </row>
    <row r="39" customFormat="false" ht="15" hidden="false" customHeight="false" outlineLevel="0" collapsed="false">
      <c r="B39" s="8" t="s">
        <v>100</v>
      </c>
      <c r="C39" s="13" t="n">
        <v>35</v>
      </c>
      <c r="D39" s="2" t="s">
        <v>98</v>
      </c>
      <c r="E39" s="5" t="s">
        <v>101</v>
      </c>
    </row>
  </sheetData>
  <mergeCells count="5">
    <mergeCell ref="A1:E1"/>
    <mergeCell ref="A4:E4"/>
    <mergeCell ref="A15:E15"/>
    <mergeCell ref="A22:E22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26" min="3" style="0" width="12"/>
    <col collapsed="false" customWidth="true" hidden="false" outlineLevel="0" max="27" min="27" style="0" width="4"/>
  </cols>
  <sheetData>
    <row r="1" customFormat="false" ht="24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2.8" hidden="false" customHeight="false" outlineLevel="0" collapsed="false">
      <c r="B2" s="5" t="s">
        <v>103</v>
      </c>
    </row>
    <row r="4" customFormat="false" ht="21.75" hidden="false" customHeight="true" outlineLevel="0" collapsed="false">
      <c r="A4" s="7"/>
      <c r="B4" s="7" t="s">
        <v>104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7" t="s">
        <v>112</v>
      </c>
      <c r="K4" s="7" t="s">
        <v>113</v>
      </c>
      <c r="L4" s="7" t="s">
        <v>114</v>
      </c>
      <c r="M4" s="7" t="s">
        <v>115</v>
      </c>
      <c r="N4" s="7" t="s">
        <v>116</v>
      </c>
      <c r="O4" s="7" t="s">
        <v>117</v>
      </c>
      <c r="P4" s="7" t="s">
        <v>118</v>
      </c>
      <c r="Q4" s="7" t="s">
        <v>119</v>
      </c>
      <c r="R4" s="7" t="s">
        <v>120</v>
      </c>
      <c r="S4" s="7" t="s">
        <v>121</v>
      </c>
      <c r="T4" s="7" t="s">
        <v>122</v>
      </c>
      <c r="U4" s="7" t="s">
        <v>123</v>
      </c>
      <c r="V4" s="7" t="s">
        <v>124</v>
      </c>
      <c r="W4" s="7" t="s">
        <v>125</v>
      </c>
      <c r="X4" s="7" t="s">
        <v>126</v>
      </c>
      <c r="Y4" s="7" t="s">
        <v>127</v>
      </c>
      <c r="Z4" s="7" t="s">
        <v>128</v>
      </c>
      <c r="AA4" s="7"/>
    </row>
    <row r="5" customFormat="false" ht="18" hidden="false" customHeight="true" outlineLevel="0" collapsed="false">
      <c r="A5" s="6" t="s">
        <v>129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B6" s="4" t="s">
        <v>130</v>
      </c>
      <c r="C6" s="14" t="n">
        <f aca="false">Assumpties!$C$7</f>
        <v>30</v>
      </c>
      <c r="D6" s="14" t="n">
        <f aca="false">ROUND(C6*(1+Assumpties!$C$8),0)</f>
        <v>32</v>
      </c>
      <c r="E6" s="14" t="n">
        <f aca="false">ROUND(D6*(1+Assumpties!$C$8),0)</f>
        <v>35</v>
      </c>
      <c r="F6" s="14" t="n">
        <f aca="false">ROUND(E6*(1+Assumpties!$C$8),0)</f>
        <v>38</v>
      </c>
      <c r="G6" s="14" t="n">
        <f aca="false">ROUND(F6*(1+Assumpties!$C$8),0)</f>
        <v>41</v>
      </c>
      <c r="H6" s="14" t="n">
        <f aca="false">ROUND(G6*(1+Assumpties!$C$8),0)</f>
        <v>44</v>
      </c>
      <c r="I6" s="14" t="n">
        <f aca="false">ROUND(H6*(1+Assumpties!$C$8),0)</f>
        <v>48</v>
      </c>
      <c r="J6" s="14" t="n">
        <f aca="false">ROUND(I6*(1+Assumpties!$C$8),0)</f>
        <v>52</v>
      </c>
      <c r="K6" s="14" t="n">
        <f aca="false">ROUND(J6*(1+Assumpties!$C$8),0)</f>
        <v>56</v>
      </c>
      <c r="L6" s="14" t="n">
        <f aca="false">ROUND(K6*(1+Assumpties!$C$8),0)</f>
        <v>60</v>
      </c>
      <c r="M6" s="14" t="n">
        <f aca="false">ROUND(L6*(1+Assumpties!$C$8),0)</f>
        <v>65</v>
      </c>
      <c r="N6" s="14" t="n">
        <f aca="false">ROUND(M6*(1+Assumpties!$C$8),0)</f>
        <v>70</v>
      </c>
      <c r="O6" s="14" t="n">
        <f aca="false">ROUND(N6*(1+Assumpties!$C$8),0)</f>
        <v>76</v>
      </c>
      <c r="P6" s="14" t="n">
        <f aca="false">ROUND(O6*(1+Assumpties!$C$8),0)</f>
        <v>82</v>
      </c>
      <c r="Q6" s="14" t="n">
        <f aca="false">ROUND(P6*(1+Assumpties!$C$8),0)</f>
        <v>89</v>
      </c>
      <c r="R6" s="14" t="n">
        <f aca="false">ROUND(Q6*(1+Assumpties!$C$8),0)</f>
        <v>96</v>
      </c>
      <c r="S6" s="14" t="n">
        <f aca="false">ROUND(R6*(1+Assumpties!$C$8),0)</f>
        <v>104</v>
      </c>
      <c r="T6" s="14" t="n">
        <f aca="false">ROUND(S6*(1+Assumpties!$C$8),0)</f>
        <v>112</v>
      </c>
      <c r="U6" s="14" t="n">
        <f aca="false">ROUND(T6*(1+Assumpties!$C$8),0)</f>
        <v>121</v>
      </c>
      <c r="V6" s="14" t="n">
        <f aca="false">ROUND(U6*(1+Assumpties!$C$8),0)</f>
        <v>131</v>
      </c>
      <c r="W6" s="14" t="n">
        <f aca="false">ROUND(V6*(1+Assumpties!$C$8),0)</f>
        <v>141</v>
      </c>
      <c r="X6" s="14" t="n">
        <f aca="false">ROUND(W6*(1+Assumpties!$C$8),0)</f>
        <v>152</v>
      </c>
      <c r="Y6" s="14" t="n">
        <f aca="false">ROUND(X6*(1+Assumpties!$C$8),0)</f>
        <v>164</v>
      </c>
      <c r="Z6" s="14" t="n">
        <f aca="false">ROUND(Y6*(1+Assumpties!$C$8),0)</f>
        <v>177</v>
      </c>
    </row>
    <row r="7" customFormat="false" ht="15" hidden="false" customHeight="false" outlineLevel="0" collapsed="false">
      <c r="B7" s="8" t="s">
        <v>131</v>
      </c>
      <c r="C7" s="14" t="n">
        <f aca="false">C6</f>
        <v>30</v>
      </c>
      <c r="D7" s="14" t="n">
        <f aca="false">C7+D6</f>
        <v>62</v>
      </c>
      <c r="E7" s="14" t="n">
        <f aca="false">D7+E6</f>
        <v>97</v>
      </c>
      <c r="F7" s="14" t="n">
        <f aca="false">E7+F6</f>
        <v>135</v>
      </c>
      <c r="G7" s="14" t="n">
        <f aca="false">F7+G6</f>
        <v>176</v>
      </c>
      <c r="H7" s="14" t="n">
        <f aca="false">G7+H6</f>
        <v>220</v>
      </c>
      <c r="I7" s="14" t="n">
        <f aca="false">H7+I6</f>
        <v>268</v>
      </c>
      <c r="J7" s="14" t="n">
        <f aca="false">I7+J6</f>
        <v>320</v>
      </c>
      <c r="K7" s="14" t="n">
        <f aca="false">J7+K6</f>
        <v>376</v>
      </c>
      <c r="L7" s="14" t="n">
        <f aca="false">K7+L6</f>
        <v>436</v>
      </c>
      <c r="M7" s="14" t="n">
        <f aca="false">L7+M6</f>
        <v>501</v>
      </c>
      <c r="N7" s="14" t="n">
        <f aca="false">M7+N6</f>
        <v>571</v>
      </c>
      <c r="O7" s="14" t="n">
        <f aca="false">N7+O6</f>
        <v>647</v>
      </c>
      <c r="P7" s="14" t="n">
        <f aca="false">O7+P6</f>
        <v>729</v>
      </c>
      <c r="Q7" s="14" t="n">
        <f aca="false">P7+Q6</f>
        <v>818</v>
      </c>
      <c r="R7" s="14" t="n">
        <f aca="false">Q7+R6</f>
        <v>914</v>
      </c>
      <c r="S7" s="14" t="n">
        <f aca="false">R7+S6</f>
        <v>1018</v>
      </c>
      <c r="T7" s="14" t="n">
        <f aca="false">S7+T6</f>
        <v>1130</v>
      </c>
      <c r="U7" s="14" t="n">
        <f aca="false">T7+U6</f>
        <v>1251</v>
      </c>
      <c r="V7" s="14" t="n">
        <f aca="false">U7+V6</f>
        <v>1382</v>
      </c>
      <c r="W7" s="14" t="n">
        <f aca="false">V7+W6</f>
        <v>1523</v>
      </c>
      <c r="X7" s="14" t="n">
        <f aca="false">W7+X6</f>
        <v>1675</v>
      </c>
      <c r="Y7" s="14" t="n">
        <f aca="false">X7+Y6</f>
        <v>1839</v>
      </c>
      <c r="Z7" s="14" t="n">
        <f aca="false">Y7+Z6</f>
        <v>2016</v>
      </c>
    </row>
    <row r="8" customFormat="false" ht="15" hidden="false" customHeight="false" outlineLevel="0" collapsed="false">
      <c r="B8" s="8" t="s">
        <v>132</v>
      </c>
      <c r="C8" s="14" t="n">
        <f aca="false">ROUND(C7*Assumpties!$C$9,0)</f>
        <v>17</v>
      </c>
      <c r="D8" s="14" t="n">
        <f aca="false">ROUND(D7*Assumpties!$C$9,0)</f>
        <v>34</v>
      </c>
      <c r="E8" s="14" t="n">
        <f aca="false">ROUND(E7*Assumpties!$C$9,0)</f>
        <v>53</v>
      </c>
      <c r="F8" s="14" t="n">
        <f aca="false">ROUND(F7*Assumpties!$C$9,0)</f>
        <v>74</v>
      </c>
      <c r="G8" s="14" t="n">
        <f aca="false">ROUND(G7*Assumpties!$C$9,0)</f>
        <v>97</v>
      </c>
      <c r="H8" s="14" t="n">
        <f aca="false">ROUND(H7*Assumpties!$C$9,0)</f>
        <v>121</v>
      </c>
      <c r="I8" s="14" t="n">
        <f aca="false">ROUND(I7*Assumpties!$C$9,0)</f>
        <v>147</v>
      </c>
      <c r="J8" s="14" t="n">
        <f aca="false">ROUND(J7*Assumpties!$C$9,0)</f>
        <v>176</v>
      </c>
      <c r="K8" s="14" t="n">
        <f aca="false">ROUND(K7*Assumpties!$C$9,0)</f>
        <v>207</v>
      </c>
      <c r="L8" s="14" t="n">
        <f aca="false">ROUND(L7*Assumpties!$C$9,0)</f>
        <v>240</v>
      </c>
      <c r="M8" s="14" t="n">
        <f aca="false">ROUND(M7*Assumpties!$C$9,0)</f>
        <v>276</v>
      </c>
      <c r="N8" s="14" t="n">
        <f aca="false">ROUND(N7*Assumpties!$C$9,0)</f>
        <v>314</v>
      </c>
      <c r="O8" s="14" t="n">
        <f aca="false">ROUND(O7*Assumpties!$C$9,0)</f>
        <v>356</v>
      </c>
      <c r="P8" s="14" t="n">
        <f aca="false">ROUND(P7*Assumpties!$C$9,0)</f>
        <v>401</v>
      </c>
      <c r="Q8" s="14" t="n">
        <f aca="false">ROUND(Q7*Assumpties!$C$9,0)</f>
        <v>450</v>
      </c>
      <c r="R8" s="14" t="n">
        <f aca="false">ROUND(R7*Assumpties!$C$9,0)</f>
        <v>503</v>
      </c>
      <c r="S8" s="14" t="n">
        <f aca="false">ROUND(S7*Assumpties!$C$9,0)</f>
        <v>560</v>
      </c>
      <c r="T8" s="14" t="n">
        <f aca="false">ROUND(T7*Assumpties!$C$9,0)</f>
        <v>622</v>
      </c>
      <c r="U8" s="14" t="n">
        <f aca="false">ROUND(U7*Assumpties!$C$9,0)</f>
        <v>688</v>
      </c>
      <c r="V8" s="14" t="n">
        <f aca="false">ROUND(V7*Assumpties!$C$9,0)</f>
        <v>760</v>
      </c>
      <c r="W8" s="14" t="n">
        <f aca="false">ROUND(W7*Assumpties!$C$9,0)</f>
        <v>838</v>
      </c>
      <c r="X8" s="14" t="n">
        <f aca="false">ROUND(X7*Assumpties!$C$9,0)</f>
        <v>921</v>
      </c>
      <c r="Y8" s="14" t="n">
        <f aca="false">ROUND(Y7*Assumpties!$C$9,0)</f>
        <v>1011</v>
      </c>
      <c r="Z8" s="14" t="n">
        <f aca="false">ROUND(Z7*Assumpties!$C$9,0)</f>
        <v>1109</v>
      </c>
    </row>
    <row r="9" customFormat="false" ht="15" hidden="false" customHeight="false" outlineLevel="0" collapsed="false">
      <c r="B9" s="4" t="s">
        <v>133</v>
      </c>
      <c r="C9" s="14" t="n">
        <f aca="false">ROUND(C6*Assumpties!$C$9*Assumpties!$C$10,0)</f>
        <v>1</v>
      </c>
      <c r="D9" s="14" t="n">
        <f aca="false">ROUND(D6*Assumpties!$C$9*Assumpties!$C$10,0)</f>
        <v>1</v>
      </c>
      <c r="E9" s="14" t="n">
        <f aca="false">ROUND(E6*Assumpties!$C$9*Assumpties!$C$10,0)</f>
        <v>1</v>
      </c>
      <c r="F9" s="14" t="n">
        <f aca="false">ROUND(F6*Assumpties!$C$9*Assumpties!$C$10,0)</f>
        <v>1</v>
      </c>
      <c r="G9" s="14" t="n">
        <f aca="false">ROUND(G6*Assumpties!$C$9*Assumpties!$C$10,0)</f>
        <v>1</v>
      </c>
      <c r="H9" s="14" t="n">
        <f aca="false">ROUND(H6*Assumpties!$C$9*Assumpties!$C$10,0)</f>
        <v>1</v>
      </c>
      <c r="I9" s="14" t="n">
        <f aca="false">ROUND(I6*Assumpties!$C$9*Assumpties!$C$10,0)</f>
        <v>1</v>
      </c>
      <c r="J9" s="14" t="n">
        <f aca="false">ROUND(J6*Assumpties!$C$9*Assumpties!$C$10,0)</f>
        <v>1</v>
      </c>
      <c r="K9" s="14" t="n">
        <f aca="false">ROUND(K6*Assumpties!$C$9*Assumpties!$C$10,0)</f>
        <v>1</v>
      </c>
      <c r="L9" s="14" t="n">
        <f aca="false">ROUND(L6*Assumpties!$C$9*Assumpties!$C$10,0)</f>
        <v>1</v>
      </c>
      <c r="M9" s="14" t="n">
        <f aca="false">ROUND(M6*Assumpties!$C$9*Assumpties!$C$10,0)</f>
        <v>1</v>
      </c>
      <c r="N9" s="14" t="n">
        <f aca="false">ROUND(N6*Assumpties!$C$9*Assumpties!$C$10,0)</f>
        <v>2</v>
      </c>
      <c r="O9" s="14" t="n">
        <f aca="false">ROUND(O6*Assumpties!$C$9*Assumpties!$C$10,0)</f>
        <v>2</v>
      </c>
      <c r="P9" s="14" t="n">
        <f aca="false">ROUND(P6*Assumpties!$C$9*Assumpties!$C$10,0)</f>
        <v>2</v>
      </c>
      <c r="Q9" s="14" t="n">
        <f aca="false">ROUND(Q6*Assumpties!$C$9*Assumpties!$C$10,0)</f>
        <v>2</v>
      </c>
      <c r="R9" s="14" t="n">
        <f aca="false">ROUND(R6*Assumpties!$C$9*Assumpties!$C$10,0)</f>
        <v>2</v>
      </c>
      <c r="S9" s="14" t="n">
        <f aca="false">ROUND(S6*Assumpties!$C$9*Assumpties!$C$10,0)</f>
        <v>2</v>
      </c>
      <c r="T9" s="14" t="n">
        <f aca="false">ROUND(T6*Assumpties!$C$9*Assumpties!$C$10,0)</f>
        <v>2</v>
      </c>
      <c r="U9" s="14" t="n">
        <f aca="false">ROUND(U6*Assumpties!$C$9*Assumpties!$C$10,0)</f>
        <v>3</v>
      </c>
      <c r="V9" s="14" t="n">
        <f aca="false">ROUND(V6*Assumpties!$C$9*Assumpties!$C$10,0)</f>
        <v>3</v>
      </c>
      <c r="W9" s="14" t="n">
        <f aca="false">ROUND(W6*Assumpties!$C$9*Assumpties!$C$10,0)</f>
        <v>3</v>
      </c>
      <c r="X9" s="14" t="n">
        <f aca="false">ROUND(X6*Assumpties!$C$9*Assumpties!$C$10,0)</f>
        <v>3</v>
      </c>
      <c r="Y9" s="14" t="n">
        <f aca="false">ROUND(Y6*Assumpties!$C$9*Assumpties!$C$10,0)</f>
        <v>4</v>
      </c>
      <c r="Z9" s="14" t="n">
        <f aca="false">ROUND(Z6*Assumpties!$C$9*Assumpties!$C$10,0)</f>
        <v>4</v>
      </c>
    </row>
    <row r="11" customFormat="false" ht="18" hidden="false" customHeight="true" outlineLevel="0" collapsed="false">
      <c r="A11" s="6" t="s">
        <v>134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B12" s="8" t="s">
        <v>135</v>
      </c>
      <c r="C12" s="14" t="n">
        <f aca="false">ROUND(C9*Assumpties!$C$11,0)</f>
        <v>1</v>
      </c>
      <c r="D12" s="14" t="n">
        <f aca="false">ROUND(D9*Assumpties!$C$11,0)</f>
        <v>1</v>
      </c>
      <c r="E12" s="14" t="n">
        <f aca="false">ROUND(E9*Assumpties!$C$11,0)</f>
        <v>1</v>
      </c>
      <c r="F12" s="14" t="n">
        <f aca="false">ROUND(F9*Assumpties!$C$11,0)</f>
        <v>1</v>
      </c>
      <c r="G12" s="14" t="n">
        <f aca="false">ROUND(G9*Assumpties!$C$11,0)</f>
        <v>1</v>
      </c>
      <c r="H12" s="14" t="n">
        <f aca="false">ROUND(H9*Assumpties!$C$11,0)</f>
        <v>1</v>
      </c>
      <c r="I12" s="14" t="n">
        <f aca="false">ROUND(I9*Assumpties!$C$11,0)</f>
        <v>1</v>
      </c>
      <c r="J12" s="14" t="n">
        <f aca="false">ROUND(J9*Assumpties!$C$11,0)</f>
        <v>1</v>
      </c>
      <c r="K12" s="14" t="n">
        <f aca="false">ROUND(K9*Assumpties!$C$11,0)</f>
        <v>1</v>
      </c>
      <c r="L12" s="14" t="n">
        <f aca="false">ROUND(L9*Assumpties!$C$11,0)</f>
        <v>1</v>
      </c>
      <c r="M12" s="14" t="n">
        <f aca="false">ROUND(M9*Assumpties!$C$11,0)</f>
        <v>1</v>
      </c>
      <c r="N12" s="14" t="n">
        <f aca="false">ROUND(N9*Assumpties!$C$11,0)</f>
        <v>2</v>
      </c>
      <c r="O12" s="14" t="n">
        <f aca="false">ROUND(O9*Assumpties!$C$11,0)</f>
        <v>2</v>
      </c>
      <c r="P12" s="14" t="n">
        <f aca="false">ROUND(P9*Assumpties!$C$11,0)</f>
        <v>2</v>
      </c>
      <c r="Q12" s="14" t="n">
        <f aca="false">ROUND(Q9*Assumpties!$C$11,0)</f>
        <v>2</v>
      </c>
      <c r="R12" s="14" t="n">
        <f aca="false">ROUND(R9*Assumpties!$C$11,0)</f>
        <v>2</v>
      </c>
      <c r="S12" s="14" t="n">
        <f aca="false">ROUND(S9*Assumpties!$C$11,0)</f>
        <v>2</v>
      </c>
      <c r="T12" s="14" t="n">
        <f aca="false">ROUND(T9*Assumpties!$C$11,0)</f>
        <v>2</v>
      </c>
      <c r="U12" s="14" t="n">
        <f aca="false">ROUND(U9*Assumpties!$C$11,0)</f>
        <v>3</v>
      </c>
      <c r="V12" s="14" t="n">
        <f aca="false">ROUND(V9*Assumpties!$C$11,0)</f>
        <v>3</v>
      </c>
      <c r="W12" s="14" t="n">
        <f aca="false">ROUND(W9*Assumpties!$C$11,0)</f>
        <v>3</v>
      </c>
      <c r="X12" s="14" t="n">
        <f aca="false">ROUND(X9*Assumpties!$C$11,0)</f>
        <v>3</v>
      </c>
      <c r="Y12" s="14" t="n">
        <f aca="false">ROUND(Y9*Assumpties!$C$11,0)</f>
        <v>3</v>
      </c>
      <c r="Z12" s="14" t="n">
        <f aca="false">ROUND(Z9*Assumpties!$C$11,0)</f>
        <v>3</v>
      </c>
    </row>
    <row r="13" customFormat="false" ht="15" hidden="false" customHeight="false" outlineLevel="0" collapsed="false">
      <c r="B13" s="8" t="s">
        <v>136</v>
      </c>
      <c r="C13" s="14" t="n">
        <f aca="false">C12</f>
        <v>1</v>
      </c>
      <c r="D13" s="14" t="n">
        <f aca="false">ROUND(C13*(1-Assumpties!$C$17)+D12,0)</f>
        <v>2</v>
      </c>
      <c r="E13" s="14" t="n">
        <f aca="false">ROUND(D13*(1-Assumpties!$C$17)+E12,0)</f>
        <v>3</v>
      </c>
      <c r="F13" s="14" t="n">
        <f aca="false">ROUND(E13*(1-Assumpties!$C$17)+F12,0)</f>
        <v>4</v>
      </c>
      <c r="G13" s="14" t="n">
        <f aca="false">ROUND(F13*(1-Assumpties!$C$17)+G12,0)</f>
        <v>5</v>
      </c>
      <c r="H13" s="14" t="n">
        <f aca="false">ROUND(G13*(1-Assumpties!$C$17)+H12,0)</f>
        <v>6</v>
      </c>
      <c r="I13" s="14" t="n">
        <f aca="false">ROUND(H13*(1-Assumpties!$C$17)+I12,0)</f>
        <v>6</v>
      </c>
      <c r="J13" s="14" t="n">
        <f aca="false">ROUND(I13*(1-Assumpties!$C$17)+J12,0)</f>
        <v>6</v>
      </c>
      <c r="K13" s="14" t="n">
        <f aca="false">ROUND(J13*(1-Assumpties!$C$17)+K12,0)</f>
        <v>6</v>
      </c>
      <c r="L13" s="14" t="n">
        <f aca="false">ROUND(K13*(1-Assumpties!$C$17)+L12,0)</f>
        <v>6</v>
      </c>
      <c r="M13" s="14" t="n">
        <f aca="false">ROUND(L13*(1-Assumpties!$C$17)+M12,0)</f>
        <v>6</v>
      </c>
      <c r="N13" s="14" t="n">
        <f aca="false">ROUND(M13*(1-Assumpties!$C$17)+N12,0)</f>
        <v>7</v>
      </c>
      <c r="O13" s="14" t="n">
        <f aca="false">ROUND(N13*(1-Assumpties!$C$17)+O12,0)</f>
        <v>8</v>
      </c>
      <c r="P13" s="14" t="n">
        <f aca="false">ROUND(O13*(1-Assumpties!$C$17)+P12,0)</f>
        <v>9</v>
      </c>
      <c r="Q13" s="14" t="n">
        <f aca="false">ROUND(P13*(1-Assumpties!$C$17)+Q12,0)</f>
        <v>10</v>
      </c>
      <c r="R13" s="14" t="n">
        <f aca="false">ROUND(Q13*(1-Assumpties!$C$17)+R12,0)</f>
        <v>11</v>
      </c>
      <c r="S13" s="14" t="n">
        <f aca="false">ROUND(R13*(1-Assumpties!$C$17)+S12,0)</f>
        <v>12</v>
      </c>
      <c r="T13" s="14" t="n">
        <f aca="false">ROUND(S13*(1-Assumpties!$C$17)+T12,0)</f>
        <v>13</v>
      </c>
      <c r="U13" s="14" t="n">
        <f aca="false">ROUND(T13*(1-Assumpties!$C$17)+U12,0)</f>
        <v>15</v>
      </c>
      <c r="V13" s="14" t="n">
        <f aca="false">ROUND(U13*(1-Assumpties!$C$17)+V12,0)</f>
        <v>17</v>
      </c>
      <c r="W13" s="14" t="n">
        <f aca="false">ROUND(V13*(1-Assumpties!$C$17)+W12,0)</f>
        <v>18</v>
      </c>
      <c r="X13" s="14" t="n">
        <f aca="false">ROUND(W13*(1-Assumpties!$C$17)+X12,0)</f>
        <v>19</v>
      </c>
      <c r="Y13" s="14" t="n">
        <f aca="false">ROUND(X13*(1-Assumpties!$C$17)+Y12,0)</f>
        <v>20</v>
      </c>
      <c r="Z13" s="14" t="n">
        <f aca="false">ROUND(Y13*(1-Assumpties!$C$17)+Z12,0)</f>
        <v>21</v>
      </c>
    </row>
    <row r="14" customFormat="false" ht="15" hidden="false" customHeight="false" outlineLevel="0" collapsed="false">
      <c r="B14" s="8" t="s">
        <v>137</v>
      </c>
      <c r="C14" s="14" t="n">
        <f aca="false">ROUND(C9*Assumpties!$C$12,0)</f>
        <v>0</v>
      </c>
      <c r="D14" s="14" t="n">
        <f aca="false">ROUND(D9*Assumpties!$C$12,0)</f>
        <v>0</v>
      </c>
      <c r="E14" s="14" t="n">
        <f aca="false">ROUND(E9*Assumpties!$C$12,0)</f>
        <v>0</v>
      </c>
      <c r="F14" s="14" t="n">
        <f aca="false">ROUND(F9*Assumpties!$C$12,0)</f>
        <v>0</v>
      </c>
      <c r="G14" s="14" t="n">
        <f aca="false">ROUND(G9*Assumpties!$C$12,0)</f>
        <v>0</v>
      </c>
      <c r="H14" s="14" t="n">
        <f aca="false">ROUND(H9*Assumpties!$C$12,0)</f>
        <v>0</v>
      </c>
      <c r="I14" s="14" t="n">
        <f aca="false">ROUND(I9*Assumpties!$C$12,0)</f>
        <v>0</v>
      </c>
      <c r="J14" s="14" t="n">
        <f aca="false">ROUND(J9*Assumpties!$C$12,0)</f>
        <v>0</v>
      </c>
      <c r="K14" s="14" t="n">
        <f aca="false">ROUND(K9*Assumpties!$C$12,0)</f>
        <v>0</v>
      </c>
      <c r="L14" s="14" t="n">
        <f aca="false">ROUND(L9*Assumpties!$C$12,0)</f>
        <v>0</v>
      </c>
      <c r="M14" s="14" t="n">
        <f aca="false">ROUND(M9*Assumpties!$C$12,0)</f>
        <v>0</v>
      </c>
      <c r="N14" s="14" t="n">
        <f aca="false">ROUND(N9*Assumpties!$C$12,0)</f>
        <v>0</v>
      </c>
      <c r="O14" s="14" t="n">
        <f aca="false">ROUND(O9*Assumpties!$C$12,0)</f>
        <v>0</v>
      </c>
      <c r="P14" s="14" t="n">
        <f aca="false">ROUND(P9*Assumpties!$C$12,0)</f>
        <v>0</v>
      </c>
      <c r="Q14" s="14" t="n">
        <f aca="false">ROUND(Q9*Assumpties!$C$12,0)</f>
        <v>0</v>
      </c>
      <c r="R14" s="14" t="n">
        <f aca="false">ROUND(R9*Assumpties!$C$12,0)</f>
        <v>0</v>
      </c>
      <c r="S14" s="14" t="n">
        <f aca="false">ROUND(S9*Assumpties!$C$12,0)</f>
        <v>0</v>
      </c>
      <c r="T14" s="14" t="n">
        <f aca="false">ROUND(T9*Assumpties!$C$12,0)</f>
        <v>0</v>
      </c>
      <c r="U14" s="14" t="n">
        <f aca="false">ROUND(U9*Assumpties!$C$12,0)</f>
        <v>0</v>
      </c>
      <c r="V14" s="14" t="n">
        <f aca="false">ROUND(V9*Assumpties!$C$12,0)</f>
        <v>0</v>
      </c>
      <c r="W14" s="14" t="n">
        <f aca="false">ROUND(W9*Assumpties!$C$12,0)</f>
        <v>0</v>
      </c>
      <c r="X14" s="14" t="n">
        <f aca="false">ROUND(X9*Assumpties!$C$12,0)</f>
        <v>0</v>
      </c>
      <c r="Y14" s="14" t="n">
        <f aca="false">ROUND(Y9*Assumpties!$C$12,0)</f>
        <v>0</v>
      </c>
      <c r="Z14" s="14" t="n">
        <f aca="false">ROUND(Z9*Assumpties!$C$12,0)</f>
        <v>0</v>
      </c>
    </row>
    <row r="15" customFormat="false" ht="15" hidden="false" customHeight="false" outlineLevel="0" collapsed="false">
      <c r="B15" s="8" t="s">
        <v>138</v>
      </c>
      <c r="C15" s="14" t="n">
        <f aca="false">C14</f>
        <v>0</v>
      </c>
      <c r="D15" s="14" t="n">
        <f aca="false">ROUND(C15*(1-Assumpties!$C$18)+D14,0)</f>
        <v>0</v>
      </c>
      <c r="E15" s="14" t="n">
        <f aca="false">ROUND(D15*(1-Assumpties!$C$18)+E14,0)</f>
        <v>0</v>
      </c>
      <c r="F15" s="14" t="n">
        <f aca="false">ROUND(E15*(1-Assumpties!$C$18)+F14,0)</f>
        <v>0</v>
      </c>
      <c r="G15" s="14" t="n">
        <f aca="false">ROUND(F15*(1-Assumpties!$C$18)+G14,0)</f>
        <v>0</v>
      </c>
      <c r="H15" s="14" t="n">
        <f aca="false">ROUND(G15*(1-Assumpties!$C$18)+H14,0)</f>
        <v>0</v>
      </c>
      <c r="I15" s="14" t="n">
        <f aca="false">ROUND(H15*(1-Assumpties!$C$18)+I14,0)</f>
        <v>0</v>
      </c>
      <c r="J15" s="14" t="n">
        <f aca="false">ROUND(I15*(1-Assumpties!$C$18)+J14,0)</f>
        <v>0</v>
      </c>
      <c r="K15" s="14" t="n">
        <f aca="false">ROUND(J15*(1-Assumpties!$C$18)+K14,0)</f>
        <v>0</v>
      </c>
      <c r="L15" s="14" t="n">
        <f aca="false">ROUND(K15*(1-Assumpties!$C$18)+L14,0)</f>
        <v>0</v>
      </c>
      <c r="M15" s="14" t="n">
        <f aca="false">ROUND(L15*(1-Assumpties!$C$18)+M14,0)</f>
        <v>0</v>
      </c>
      <c r="N15" s="14" t="n">
        <f aca="false">ROUND(M15*(1-Assumpties!$C$18)+N14,0)</f>
        <v>0</v>
      </c>
      <c r="O15" s="14" t="n">
        <f aca="false">ROUND(N15*(1-Assumpties!$C$18)+O14,0)</f>
        <v>0</v>
      </c>
      <c r="P15" s="14" t="n">
        <f aca="false">ROUND(O15*(1-Assumpties!$C$18)+P14,0)</f>
        <v>0</v>
      </c>
      <c r="Q15" s="14" t="n">
        <f aca="false">ROUND(P15*(1-Assumpties!$C$18)+Q14,0)</f>
        <v>0</v>
      </c>
      <c r="R15" s="14" t="n">
        <f aca="false">ROUND(Q15*(1-Assumpties!$C$18)+R14,0)</f>
        <v>0</v>
      </c>
      <c r="S15" s="14" t="n">
        <f aca="false">ROUND(R15*(1-Assumpties!$C$18)+S14,0)</f>
        <v>0</v>
      </c>
      <c r="T15" s="14" t="n">
        <f aca="false">ROUND(S15*(1-Assumpties!$C$18)+T14,0)</f>
        <v>0</v>
      </c>
      <c r="U15" s="14" t="n">
        <f aca="false">ROUND(T15*(1-Assumpties!$C$18)+U14,0)</f>
        <v>0</v>
      </c>
      <c r="V15" s="14" t="n">
        <f aca="false">ROUND(U15*(1-Assumpties!$C$18)+V14,0)</f>
        <v>0</v>
      </c>
      <c r="W15" s="14" t="n">
        <f aca="false">ROUND(V15*(1-Assumpties!$C$18)+W14,0)</f>
        <v>0</v>
      </c>
      <c r="X15" s="14" t="n">
        <f aca="false">ROUND(W15*(1-Assumpties!$C$18)+X14,0)</f>
        <v>0</v>
      </c>
      <c r="Y15" s="14" t="n">
        <f aca="false">ROUND(X15*(1-Assumpties!$C$18)+Y14,0)</f>
        <v>0</v>
      </c>
      <c r="Z15" s="14" t="n">
        <f aca="false">ROUND(Y15*(1-Assumpties!$C$18)+Z14,0)</f>
        <v>0</v>
      </c>
    </row>
    <row r="17" customFormat="false" ht="18" hidden="false" customHeight="true" outlineLevel="0" collapsed="false">
      <c r="A17" s="6" t="s">
        <v>139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B18" s="8" t="s">
        <v>140</v>
      </c>
      <c r="C18" s="15" t="n">
        <f aca="false">C13*Assumpties!$C$24</f>
        <v>21.99</v>
      </c>
      <c r="D18" s="15" t="n">
        <f aca="false">D13*Assumpties!$C$24</f>
        <v>43.98</v>
      </c>
      <c r="E18" s="15" t="n">
        <f aca="false">E13*Assumpties!$C$24</f>
        <v>65.97</v>
      </c>
      <c r="F18" s="15" t="n">
        <f aca="false">F13*Assumpties!$C$24</f>
        <v>87.96</v>
      </c>
      <c r="G18" s="15" t="n">
        <f aca="false">G13*Assumpties!$C$24</f>
        <v>109.95</v>
      </c>
      <c r="H18" s="15" t="n">
        <f aca="false">H13*Assumpties!$C$24</f>
        <v>131.94</v>
      </c>
      <c r="I18" s="15" t="n">
        <f aca="false">I13*Assumpties!$C$24</f>
        <v>131.94</v>
      </c>
      <c r="J18" s="15" t="n">
        <f aca="false">J13*Assumpties!$C$24</f>
        <v>131.94</v>
      </c>
      <c r="K18" s="15" t="n">
        <f aca="false">K13*Assumpties!$C$24</f>
        <v>131.94</v>
      </c>
      <c r="L18" s="15" t="n">
        <f aca="false">L13*Assumpties!$C$24</f>
        <v>131.94</v>
      </c>
      <c r="M18" s="15" t="n">
        <f aca="false">M13*Assumpties!$C$24</f>
        <v>131.94</v>
      </c>
      <c r="N18" s="15" t="n">
        <f aca="false">N13*Assumpties!$C$24</f>
        <v>153.93</v>
      </c>
      <c r="O18" s="15" t="n">
        <f aca="false">O13*Assumpties!$C$24</f>
        <v>175.92</v>
      </c>
      <c r="P18" s="15" t="n">
        <f aca="false">P13*Assumpties!$C$24</f>
        <v>197.91</v>
      </c>
      <c r="Q18" s="15" t="n">
        <f aca="false">Q13*Assumpties!$C$24</f>
        <v>219.9</v>
      </c>
      <c r="R18" s="15" t="n">
        <f aca="false">R13*Assumpties!$C$24</f>
        <v>241.89</v>
      </c>
      <c r="S18" s="15" t="n">
        <f aca="false">S13*Assumpties!$C$24</f>
        <v>263.88</v>
      </c>
      <c r="T18" s="15" t="n">
        <f aca="false">T13*Assumpties!$C$24</f>
        <v>285.87</v>
      </c>
      <c r="U18" s="15" t="n">
        <f aca="false">U13*Assumpties!$C$24</f>
        <v>329.85</v>
      </c>
      <c r="V18" s="15" t="n">
        <f aca="false">V13*Assumpties!$C$24</f>
        <v>373.83</v>
      </c>
      <c r="W18" s="15" t="n">
        <f aca="false">W13*Assumpties!$C$24</f>
        <v>395.82</v>
      </c>
      <c r="X18" s="15" t="n">
        <f aca="false">X13*Assumpties!$C$24</f>
        <v>417.81</v>
      </c>
      <c r="Y18" s="15" t="n">
        <f aca="false">Y13*Assumpties!$C$24</f>
        <v>439.8</v>
      </c>
      <c r="Z18" s="15" t="n">
        <f aca="false">Z13*Assumpties!$C$24</f>
        <v>461.79</v>
      </c>
    </row>
    <row r="19" customFormat="false" ht="15" hidden="false" customHeight="false" outlineLevel="0" collapsed="false">
      <c r="B19" s="8" t="s">
        <v>141</v>
      </c>
      <c r="C19" s="15" t="n">
        <f aca="false">C15*Assumpties!$C$25</f>
        <v>0</v>
      </c>
      <c r="D19" s="15" t="n">
        <f aca="false">D15*Assumpties!$C$25</f>
        <v>0</v>
      </c>
      <c r="E19" s="15" t="n">
        <f aca="false">E15*Assumpties!$C$25</f>
        <v>0</v>
      </c>
      <c r="F19" s="15" t="n">
        <f aca="false">F15*Assumpties!$C$25</f>
        <v>0</v>
      </c>
      <c r="G19" s="15" t="n">
        <f aca="false">G15*Assumpties!$C$25</f>
        <v>0</v>
      </c>
      <c r="H19" s="15" t="n">
        <f aca="false">H15*Assumpties!$C$25</f>
        <v>0</v>
      </c>
      <c r="I19" s="15" t="n">
        <f aca="false">I15*Assumpties!$C$25</f>
        <v>0</v>
      </c>
      <c r="J19" s="15" t="n">
        <f aca="false">J15*Assumpties!$C$25</f>
        <v>0</v>
      </c>
      <c r="K19" s="15" t="n">
        <f aca="false">K15*Assumpties!$C$25</f>
        <v>0</v>
      </c>
      <c r="L19" s="15" t="n">
        <f aca="false">L15*Assumpties!$C$25</f>
        <v>0</v>
      </c>
      <c r="M19" s="15" t="n">
        <f aca="false">M15*Assumpties!$C$25</f>
        <v>0</v>
      </c>
      <c r="N19" s="15" t="n">
        <f aca="false">N15*Assumpties!$C$25</f>
        <v>0</v>
      </c>
      <c r="O19" s="15" t="n">
        <f aca="false">O15*Assumpties!$C$25</f>
        <v>0</v>
      </c>
      <c r="P19" s="15" t="n">
        <f aca="false">P15*Assumpties!$C$25</f>
        <v>0</v>
      </c>
      <c r="Q19" s="15" t="n">
        <f aca="false">Q15*Assumpties!$C$25</f>
        <v>0</v>
      </c>
      <c r="R19" s="15" t="n">
        <f aca="false">R15*Assumpties!$C$25</f>
        <v>0</v>
      </c>
      <c r="S19" s="15" t="n">
        <f aca="false">S15*Assumpties!$C$25</f>
        <v>0</v>
      </c>
      <c r="T19" s="15" t="n">
        <f aca="false">T15*Assumpties!$C$25</f>
        <v>0</v>
      </c>
      <c r="U19" s="15" t="n">
        <f aca="false">U15*Assumpties!$C$25</f>
        <v>0</v>
      </c>
      <c r="V19" s="15" t="n">
        <f aca="false">V15*Assumpties!$C$25</f>
        <v>0</v>
      </c>
      <c r="W19" s="15" t="n">
        <f aca="false">W15*Assumpties!$C$25</f>
        <v>0</v>
      </c>
      <c r="X19" s="15" t="n">
        <f aca="false">X15*Assumpties!$C$25</f>
        <v>0</v>
      </c>
      <c r="Y19" s="15" t="n">
        <f aca="false">Y15*Assumpties!$C$25</f>
        <v>0</v>
      </c>
      <c r="Z19" s="15" t="n">
        <f aca="false">Z15*Assumpties!$C$25</f>
        <v>0</v>
      </c>
    </row>
    <row r="20" customFormat="false" ht="15" hidden="false" customHeight="false" outlineLevel="0" collapsed="false">
      <c r="B20" s="4" t="s">
        <v>142</v>
      </c>
      <c r="C20" s="16" t="n">
        <f aca="false">C18+C19</f>
        <v>21.99</v>
      </c>
      <c r="D20" s="16" t="n">
        <f aca="false">D18+D19</f>
        <v>43.98</v>
      </c>
      <c r="E20" s="16" t="n">
        <f aca="false">E18+E19</f>
        <v>65.97</v>
      </c>
      <c r="F20" s="16" t="n">
        <f aca="false">F18+F19</f>
        <v>87.96</v>
      </c>
      <c r="G20" s="16" t="n">
        <f aca="false">G18+G19</f>
        <v>109.95</v>
      </c>
      <c r="H20" s="16" t="n">
        <f aca="false">H18+H19</f>
        <v>131.94</v>
      </c>
      <c r="I20" s="16" t="n">
        <f aca="false">I18+I19</f>
        <v>131.94</v>
      </c>
      <c r="J20" s="16" t="n">
        <f aca="false">J18+J19</f>
        <v>131.94</v>
      </c>
      <c r="K20" s="16" t="n">
        <f aca="false">K18+K19</f>
        <v>131.94</v>
      </c>
      <c r="L20" s="16" t="n">
        <f aca="false">L18+L19</f>
        <v>131.94</v>
      </c>
      <c r="M20" s="16" t="n">
        <f aca="false">M18+M19</f>
        <v>131.94</v>
      </c>
      <c r="N20" s="16" t="n">
        <f aca="false">N18+N19</f>
        <v>153.93</v>
      </c>
      <c r="O20" s="16" t="n">
        <f aca="false">O18+O19</f>
        <v>175.92</v>
      </c>
      <c r="P20" s="16" t="n">
        <f aca="false">P18+P19</f>
        <v>197.91</v>
      </c>
      <c r="Q20" s="16" t="n">
        <f aca="false">Q18+Q19</f>
        <v>219.9</v>
      </c>
      <c r="R20" s="16" t="n">
        <f aca="false">R18+R19</f>
        <v>241.89</v>
      </c>
      <c r="S20" s="16" t="n">
        <f aca="false">S18+S19</f>
        <v>263.88</v>
      </c>
      <c r="T20" s="16" t="n">
        <f aca="false">T18+T19</f>
        <v>285.87</v>
      </c>
      <c r="U20" s="16" t="n">
        <f aca="false">U18+U19</f>
        <v>329.85</v>
      </c>
      <c r="V20" s="16" t="n">
        <f aca="false">V18+V19</f>
        <v>373.83</v>
      </c>
      <c r="W20" s="16" t="n">
        <f aca="false">W18+W19</f>
        <v>395.82</v>
      </c>
      <c r="X20" s="16" t="n">
        <f aca="false">X18+X19</f>
        <v>417.81</v>
      </c>
      <c r="Y20" s="16" t="n">
        <f aca="false">Y18+Y19</f>
        <v>439.8</v>
      </c>
      <c r="Z20" s="16" t="n">
        <f aca="false">Z18+Z19</f>
        <v>461.79</v>
      </c>
    </row>
    <row r="21" customFormat="false" ht="15" hidden="false" customHeight="false" outlineLevel="0" collapsed="false">
      <c r="B21" s="8" t="s">
        <v>143</v>
      </c>
      <c r="C21" s="15" t="n">
        <f aca="false">C20</f>
        <v>21.99</v>
      </c>
      <c r="D21" s="15" t="n">
        <f aca="false">C21+D20</f>
        <v>65.97</v>
      </c>
      <c r="E21" s="15" t="n">
        <f aca="false">D21+E20</f>
        <v>131.94</v>
      </c>
      <c r="F21" s="15" t="n">
        <f aca="false">E21+F20</f>
        <v>219.9</v>
      </c>
      <c r="G21" s="15" t="n">
        <f aca="false">F21+G20</f>
        <v>329.85</v>
      </c>
      <c r="H21" s="15" t="n">
        <f aca="false">G21+H20</f>
        <v>461.79</v>
      </c>
      <c r="I21" s="15" t="n">
        <f aca="false">H21+I20</f>
        <v>593.73</v>
      </c>
      <c r="J21" s="15" t="n">
        <f aca="false">I21+J20</f>
        <v>725.67</v>
      </c>
      <c r="K21" s="15" t="n">
        <f aca="false">J21+K20</f>
        <v>857.61</v>
      </c>
      <c r="L21" s="15" t="n">
        <f aca="false">K21+L20</f>
        <v>989.55</v>
      </c>
      <c r="M21" s="15" t="n">
        <f aca="false">L21+M20</f>
        <v>1121.49</v>
      </c>
      <c r="N21" s="15" t="n">
        <f aca="false">M21+N20</f>
        <v>1275.42</v>
      </c>
      <c r="O21" s="15" t="n">
        <f aca="false">N21+O20</f>
        <v>1451.34</v>
      </c>
      <c r="P21" s="15" t="n">
        <f aca="false">O21+P20</f>
        <v>1649.25</v>
      </c>
      <c r="Q21" s="15" t="n">
        <f aca="false">P21+Q20</f>
        <v>1869.15</v>
      </c>
      <c r="R21" s="15" t="n">
        <f aca="false">Q21+R20</f>
        <v>2111.04</v>
      </c>
      <c r="S21" s="15" t="n">
        <f aca="false">R21+S20</f>
        <v>2374.92</v>
      </c>
      <c r="T21" s="15" t="n">
        <f aca="false">S21+T20</f>
        <v>2660.79</v>
      </c>
      <c r="U21" s="15" t="n">
        <f aca="false">T21+U20</f>
        <v>2990.64</v>
      </c>
      <c r="V21" s="15" t="n">
        <f aca="false">U21+V20</f>
        <v>3364.47</v>
      </c>
      <c r="W21" s="15" t="n">
        <f aca="false">V21+W20</f>
        <v>3760.29</v>
      </c>
      <c r="X21" s="15" t="n">
        <f aca="false">W21+X20</f>
        <v>4178.1</v>
      </c>
      <c r="Y21" s="15" t="n">
        <f aca="false">X21+Y20</f>
        <v>4617.9</v>
      </c>
      <c r="Z21" s="15" t="n">
        <f aca="false">Y21+Z20</f>
        <v>5079.69</v>
      </c>
    </row>
    <row r="23" customFormat="false" ht="18" hidden="false" customHeight="true" outlineLevel="0" collapsed="false">
      <c r="A23" s="6" t="s">
        <v>144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B24" s="8" t="s">
        <v>145</v>
      </c>
      <c r="C24" s="15" t="n">
        <f aca="false">C20*Assumpties!$C$33+(C13+C15)*Assumpties!$C$34</f>
        <v>0.88771</v>
      </c>
      <c r="D24" s="15" t="n">
        <f aca="false">D20*Assumpties!$C$33+(D13+D15)*Assumpties!$C$34</f>
        <v>1.77542</v>
      </c>
      <c r="E24" s="15" t="n">
        <f aca="false">E20*Assumpties!$C$33+(E13+E15)*Assumpties!$C$34</f>
        <v>2.66313</v>
      </c>
      <c r="F24" s="15" t="n">
        <f aca="false">F20*Assumpties!$C$33+(F13+F15)*Assumpties!$C$34</f>
        <v>3.55084</v>
      </c>
      <c r="G24" s="15" t="n">
        <f aca="false">G20*Assumpties!$C$33+(G13+G15)*Assumpties!$C$34</f>
        <v>4.43855</v>
      </c>
      <c r="H24" s="15" t="n">
        <f aca="false">H20*Assumpties!$C$33+(H13+H15)*Assumpties!$C$34</f>
        <v>5.32626</v>
      </c>
      <c r="I24" s="15" t="n">
        <f aca="false">I20*Assumpties!$C$33+(I13+I15)*Assumpties!$C$34</f>
        <v>5.32626</v>
      </c>
      <c r="J24" s="15" t="n">
        <f aca="false">J20*Assumpties!$C$33+(J13+J15)*Assumpties!$C$34</f>
        <v>5.32626</v>
      </c>
      <c r="K24" s="15" t="n">
        <f aca="false">K20*Assumpties!$C$33+(K13+K15)*Assumpties!$C$34</f>
        <v>5.32626</v>
      </c>
      <c r="L24" s="15" t="n">
        <f aca="false">L20*Assumpties!$C$33+(L13+L15)*Assumpties!$C$34</f>
        <v>5.32626</v>
      </c>
      <c r="M24" s="15" t="n">
        <f aca="false">M20*Assumpties!$C$33+(M13+M15)*Assumpties!$C$34</f>
        <v>5.32626</v>
      </c>
      <c r="N24" s="15" t="n">
        <f aca="false">N20*Assumpties!$C$33+(N13+N15)*Assumpties!$C$34</f>
        <v>6.21397</v>
      </c>
      <c r="O24" s="15" t="n">
        <f aca="false">O20*Assumpties!$C$33+(O13+O15)*Assumpties!$C$34</f>
        <v>7.10168</v>
      </c>
      <c r="P24" s="15" t="n">
        <f aca="false">P20*Assumpties!$C$33+(P13+P15)*Assumpties!$C$34</f>
        <v>7.98939</v>
      </c>
      <c r="Q24" s="15" t="n">
        <f aca="false">Q20*Assumpties!$C$33+(Q13+Q15)*Assumpties!$C$34</f>
        <v>8.8771</v>
      </c>
      <c r="R24" s="15" t="n">
        <f aca="false">R20*Assumpties!$C$33+(R13+R15)*Assumpties!$C$34</f>
        <v>9.76481</v>
      </c>
      <c r="S24" s="15" t="n">
        <f aca="false">S20*Assumpties!$C$33+(S13+S15)*Assumpties!$C$34</f>
        <v>10.65252</v>
      </c>
      <c r="T24" s="15" t="n">
        <f aca="false">T20*Assumpties!$C$33+(T13+T15)*Assumpties!$C$34</f>
        <v>11.54023</v>
      </c>
      <c r="U24" s="15" t="n">
        <f aca="false">U20*Assumpties!$C$33+(U13+U15)*Assumpties!$C$34</f>
        <v>13.31565</v>
      </c>
      <c r="V24" s="15" t="n">
        <f aca="false">V20*Assumpties!$C$33+(V13+V15)*Assumpties!$C$34</f>
        <v>15.09107</v>
      </c>
      <c r="W24" s="15" t="n">
        <f aca="false">W20*Assumpties!$C$33+(W13+W15)*Assumpties!$C$34</f>
        <v>15.97878</v>
      </c>
      <c r="X24" s="15" t="n">
        <f aca="false">X20*Assumpties!$C$33+(X13+X15)*Assumpties!$C$34</f>
        <v>16.86649</v>
      </c>
      <c r="Y24" s="15" t="n">
        <f aca="false">Y20*Assumpties!$C$33+(Y13+Y15)*Assumpties!$C$34</f>
        <v>17.7542</v>
      </c>
      <c r="Z24" s="15" t="n">
        <f aca="false">Z20*Assumpties!$C$33+(Z13+Z15)*Assumpties!$C$34</f>
        <v>18.64191</v>
      </c>
    </row>
    <row r="25" customFormat="false" ht="15" hidden="false" customHeight="false" outlineLevel="0" collapsed="false">
      <c r="B25" s="8" t="s">
        <v>146</v>
      </c>
      <c r="C25" s="15" t="n">
        <f aca="false">C13*Assumpties!$C$36+C15*Assumpties!$C$37</f>
        <v>0.5</v>
      </c>
      <c r="D25" s="15" t="n">
        <f aca="false">D13*Assumpties!$C$36+D15*Assumpties!$C$37</f>
        <v>1</v>
      </c>
      <c r="E25" s="15" t="n">
        <f aca="false">E13*Assumpties!$C$36+E15*Assumpties!$C$37</f>
        <v>1.5</v>
      </c>
      <c r="F25" s="15" t="n">
        <f aca="false">F13*Assumpties!$C$36+F15*Assumpties!$C$37</f>
        <v>2</v>
      </c>
      <c r="G25" s="15" t="n">
        <f aca="false">G13*Assumpties!$C$36+G15*Assumpties!$C$37</f>
        <v>2.5</v>
      </c>
      <c r="H25" s="15" t="n">
        <f aca="false">H13*Assumpties!$C$36+H15*Assumpties!$C$37</f>
        <v>3</v>
      </c>
      <c r="I25" s="15" t="n">
        <f aca="false">I13*Assumpties!$C$36+I15*Assumpties!$C$37</f>
        <v>3</v>
      </c>
      <c r="J25" s="15" t="n">
        <f aca="false">J13*Assumpties!$C$36+J15*Assumpties!$C$37</f>
        <v>3</v>
      </c>
      <c r="K25" s="15" t="n">
        <f aca="false">K13*Assumpties!$C$36+K15*Assumpties!$C$37</f>
        <v>3</v>
      </c>
      <c r="L25" s="15" t="n">
        <f aca="false">L13*Assumpties!$C$36+L15*Assumpties!$C$37</f>
        <v>3</v>
      </c>
      <c r="M25" s="15" t="n">
        <f aca="false">M13*Assumpties!$C$36+M15*Assumpties!$C$37</f>
        <v>3</v>
      </c>
      <c r="N25" s="15" t="n">
        <f aca="false">N13*Assumpties!$C$36+N15*Assumpties!$C$37</f>
        <v>3.5</v>
      </c>
      <c r="O25" s="15" t="n">
        <f aca="false">O13*Assumpties!$C$36+O15*Assumpties!$C$37</f>
        <v>4</v>
      </c>
      <c r="P25" s="15" t="n">
        <f aca="false">P13*Assumpties!$C$36+P15*Assumpties!$C$37</f>
        <v>4.5</v>
      </c>
      <c r="Q25" s="15" t="n">
        <f aca="false">Q13*Assumpties!$C$36+Q15*Assumpties!$C$37</f>
        <v>5</v>
      </c>
      <c r="R25" s="15" t="n">
        <f aca="false">R13*Assumpties!$C$36+R15*Assumpties!$C$37</f>
        <v>5.5</v>
      </c>
      <c r="S25" s="15" t="n">
        <f aca="false">S13*Assumpties!$C$36+S15*Assumpties!$C$37</f>
        <v>6</v>
      </c>
      <c r="T25" s="15" t="n">
        <f aca="false">T13*Assumpties!$C$36+T15*Assumpties!$C$37</f>
        <v>6.5</v>
      </c>
      <c r="U25" s="15" t="n">
        <f aca="false">U13*Assumpties!$C$36+U15*Assumpties!$C$37</f>
        <v>7.5</v>
      </c>
      <c r="V25" s="15" t="n">
        <f aca="false">V13*Assumpties!$C$36+V15*Assumpties!$C$37</f>
        <v>8.5</v>
      </c>
      <c r="W25" s="15" t="n">
        <f aca="false">W13*Assumpties!$C$36+W15*Assumpties!$C$37</f>
        <v>9</v>
      </c>
      <c r="X25" s="15" t="n">
        <f aca="false">X13*Assumpties!$C$36+X15*Assumpties!$C$37</f>
        <v>9.5</v>
      </c>
      <c r="Y25" s="15" t="n">
        <f aca="false">Y13*Assumpties!$C$36+Y15*Assumpties!$C$37</f>
        <v>10</v>
      </c>
      <c r="Z25" s="15" t="n">
        <f aca="false">Z13*Assumpties!$C$36+Z15*Assumpties!$C$37</f>
        <v>10.5</v>
      </c>
    </row>
    <row r="26" customFormat="false" ht="15" hidden="false" customHeight="false" outlineLevel="0" collapsed="false">
      <c r="B26" s="8" t="s">
        <v>147</v>
      </c>
      <c r="C26" s="15" t="n">
        <f aca="false">Assumpties!$C$35</f>
        <v>25</v>
      </c>
      <c r="D26" s="15" t="n">
        <f aca="false">Assumpties!$C$35</f>
        <v>25</v>
      </c>
      <c r="E26" s="15" t="n">
        <f aca="false">Assumpties!$C$35</f>
        <v>25</v>
      </c>
      <c r="F26" s="15" t="n">
        <f aca="false">Assumpties!$C$35</f>
        <v>25</v>
      </c>
      <c r="G26" s="15" t="n">
        <f aca="false">Assumpties!$C$35</f>
        <v>25</v>
      </c>
      <c r="H26" s="15" t="n">
        <f aca="false">Assumpties!$C$35</f>
        <v>25</v>
      </c>
      <c r="I26" s="15" t="n">
        <f aca="false">Assumpties!$C$35</f>
        <v>25</v>
      </c>
      <c r="J26" s="15" t="n">
        <f aca="false">Assumpties!$C$35</f>
        <v>25</v>
      </c>
      <c r="K26" s="15" t="n">
        <f aca="false">Assumpties!$C$35</f>
        <v>25</v>
      </c>
      <c r="L26" s="15" t="n">
        <f aca="false">Assumpties!$C$35</f>
        <v>25</v>
      </c>
      <c r="M26" s="15" t="n">
        <f aca="false">Assumpties!$C$35</f>
        <v>25</v>
      </c>
      <c r="N26" s="15" t="n">
        <f aca="false">Assumpties!$C$35</f>
        <v>25</v>
      </c>
      <c r="O26" s="15" t="n">
        <f aca="false">Assumpties!$C$35</f>
        <v>25</v>
      </c>
      <c r="P26" s="15" t="n">
        <f aca="false">Assumpties!$C$35</f>
        <v>25</v>
      </c>
      <c r="Q26" s="15" t="n">
        <f aca="false">Assumpties!$C$35</f>
        <v>25</v>
      </c>
      <c r="R26" s="15" t="n">
        <f aca="false">Assumpties!$C$35</f>
        <v>25</v>
      </c>
      <c r="S26" s="15" t="n">
        <f aca="false">Assumpties!$C$35</f>
        <v>25</v>
      </c>
      <c r="T26" s="15" t="n">
        <f aca="false">Assumpties!$C$35</f>
        <v>25</v>
      </c>
      <c r="U26" s="15" t="n">
        <f aca="false">Assumpties!$C$35</f>
        <v>25</v>
      </c>
      <c r="V26" s="15" t="n">
        <f aca="false">Assumpties!$C$35</f>
        <v>25</v>
      </c>
      <c r="W26" s="15" t="n">
        <f aca="false">Assumpties!$C$35</f>
        <v>25</v>
      </c>
      <c r="X26" s="15" t="n">
        <f aca="false">Assumpties!$C$35</f>
        <v>25</v>
      </c>
      <c r="Y26" s="15" t="n">
        <f aca="false">Assumpties!$C$35</f>
        <v>25</v>
      </c>
      <c r="Z26" s="15" t="n">
        <f aca="false">Assumpties!$C$35</f>
        <v>25</v>
      </c>
    </row>
    <row r="27" customFormat="false" ht="15" hidden="false" customHeight="false" outlineLevel="0" collapsed="false">
      <c r="B27" s="8" t="s">
        <v>148</v>
      </c>
      <c r="C27" s="15" t="n">
        <f aca="false">C9*Assumpties!$C$38</f>
        <v>8</v>
      </c>
      <c r="D27" s="15" t="n">
        <f aca="false">D9*Assumpties!$C$38</f>
        <v>8</v>
      </c>
      <c r="E27" s="15" t="n">
        <f aca="false">E9*Assumpties!$C$38</f>
        <v>8</v>
      </c>
      <c r="F27" s="15" t="n">
        <f aca="false">F9*Assumpties!$C$38</f>
        <v>8</v>
      </c>
      <c r="G27" s="15" t="n">
        <f aca="false">G9*Assumpties!$C$38</f>
        <v>8</v>
      </c>
      <c r="H27" s="15" t="n">
        <f aca="false">H9*Assumpties!$C$38</f>
        <v>8</v>
      </c>
      <c r="I27" s="15" t="n">
        <f aca="false">I9*Assumpties!$C$38</f>
        <v>8</v>
      </c>
      <c r="J27" s="15" t="n">
        <f aca="false">J9*Assumpties!$C$38</f>
        <v>8</v>
      </c>
      <c r="K27" s="15" t="n">
        <f aca="false">K9*Assumpties!$C$38</f>
        <v>8</v>
      </c>
      <c r="L27" s="15" t="n">
        <f aca="false">L9*Assumpties!$C$38</f>
        <v>8</v>
      </c>
      <c r="M27" s="15" t="n">
        <f aca="false">M9*Assumpties!$C$38</f>
        <v>8</v>
      </c>
      <c r="N27" s="15" t="n">
        <f aca="false">N9*Assumpties!$C$38</f>
        <v>16</v>
      </c>
      <c r="O27" s="15" t="n">
        <f aca="false">O9*Assumpties!$C$38</f>
        <v>16</v>
      </c>
      <c r="P27" s="15" t="n">
        <f aca="false">P9*Assumpties!$C$38</f>
        <v>16</v>
      </c>
      <c r="Q27" s="15" t="n">
        <f aca="false">Q9*Assumpties!$C$38</f>
        <v>16</v>
      </c>
      <c r="R27" s="15" t="n">
        <f aca="false">R9*Assumpties!$C$38</f>
        <v>16</v>
      </c>
      <c r="S27" s="15" t="n">
        <f aca="false">S9*Assumpties!$C$38</f>
        <v>16</v>
      </c>
      <c r="T27" s="15" t="n">
        <f aca="false">T9*Assumpties!$C$38</f>
        <v>16</v>
      </c>
      <c r="U27" s="15" t="n">
        <f aca="false">U9*Assumpties!$C$38</f>
        <v>24</v>
      </c>
      <c r="V27" s="15" t="n">
        <f aca="false">V9*Assumpties!$C$38</f>
        <v>24</v>
      </c>
      <c r="W27" s="15" t="n">
        <f aca="false">W9*Assumpties!$C$38</f>
        <v>24</v>
      </c>
      <c r="X27" s="15" t="n">
        <f aca="false">X9*Assumpties!$C$38</f>
        <v>24</v>
      </c>
      <c r="Y27" s="15" t="n">
        <f aca="false">Y9*Assumpties!$C$38</f>
        <v>32</v>
      </c>
      <c r="Z27" s="15" t="n">
        <f aca="false">Z9*Assumpties!$C$38</f>
        <v>32</v>
      </c>
    </row>
    <row r="28" customFormat="false" ht="15" hidden="false" customHeight="false" outlineLevel="0" collapsed="false">
      <c r="B28" s="4" t="s">
        <v>149</v>
      </c>
      <c r="C28" s="16" t="n">
        <f aca="false">C20-C24-C25-C26-C27</f>
        <v>-12.39771</v>
      </c>
      <c r="D28" s="16" t="n">
        <f aca="false">D20-D24-D25-D26-D27</f>
        <v>8.20458</v>
      </c>
      <c r="E28" s="16" t="n">
        <f aca="false">E20-E24-E25-E26-E27</f>
        <v>28.80687</v>
      </c>
      <c r="F28" s="16" t="n">
        <f aca="false">F20-F24-F25-F26-F27</f>
        <v>49.40916</v>
      </c>
      <c r="G28" s="16" t="n">
        <f aca="false">G20-G24-G25-G26-G27</f>
        <v>70.01145</v>
      </c>
      <c r="H28" s="16" t="n">
        <f aca="false">H20-H24-H25-H26-H27</f>
        <v>90.61374</v>
      </c>
      <c r="I28" s="16" t="n">
        <f aca="false">I20-I24-I25-I26-I27</f>
        <v>90.61374</v>
      </c>
      <c r="J28" s="16" t="n">
        <f aca="false">J20-J24-J25-J26-J27</f>
        <v>90.61374</v>
      </c>
      <c r="K28" s="16" t="n">
        <f aca="false">K20-K24-K25-K26-K27</f>
        <v>90.61374</v>
      </c>
      <c r="L28" s="16" t="n">
        <f aca="false">L20-L24-L25-L26-L27</f>
        <v>90.61374</v>
      </c>
      <c r="M28" s="16" t="n">
        <f aca="false">M20-M24-M25-M26-M27</f>
        <v>90.61374</v>
      </c>
      <c r="N28" s="16" t="n">
        <f aca="false">N20-N24-N25-N26-N27</f>
        <v>103.21603</v>
      </c>
      <c r="O28" s="16" t="n">
        <f aca="false">O20-O24-O25-O26-O27</f>
        <v>123.81832</v>
      </c>
      <c r="P28" s="16" t="n">
        <f aca="false">P20-P24-P25-P26-P27</f>
        <v>144.42061</v>
      </c>
      <c r="Q28" s="16" t="n">
        <f aca="false">Q20-Q24-Q25-Q26-Q27</f>
        <v>165.0229</v>
      </c>
      <c r="R28" s="16" t="n">
        <f aca="false">R20-R24-R25-R26-R27</f>
        <v>185.62519</v>
      </c>
      <c r="S28" s="16" t="n">
        <f aca="false">S20-S24-S25-S26-S27</f>
        <v>206.22748</v>
      </c>
      <c r="T28" s="16" t="n">
        <f aca="false">T20-T24-T25-T26-T27</f>
        <v>226.82977</v>
      </c>
      <c r="U28" s="16" t="n">
        <f aca="false">U20-U24-U25-U26-U27</f>
        <v>260.03435</v>
      </c>
      <c r="V28" s="16" t="n">
        <f aca="false">V20-V24-V25-V26-V27</f>
        <v>301.23893</v>
      </c>
      <c r="W28" s="16" t="n">
        <f aca="false">W20-W24-W25-W26-W27</f>
        <v>321.84122</v>
      </c>
      <c r="X28" s="16" t="n">
        <f aca="false">X20-X24-X25-X26-X27</f>
        <v>342.44351</v>
      </c>
      <c r="Y28" s="16" t="n">
        <f aca="false">Y20-Y24-Y25-Y26-Y27</f>
        <v>355.0458</v>
      </c>
      <c r="Z28" s="16" t="n">
        <f aca="false">Z20-Z24-Z25-Z26-Z27</f>
        <v>375.64809</v>
      </c>
    </row>
    <row r="29" customFormat="false" ht="15" hidden="false" customHeight="false" outlineLevel="0" collapsed="false">
      <c r="B29" s="8" t="s">
        <v>150</v>
      </c>
      <c r="C29" s="15" t="n">
        <f aca="false">C28</f>
        <v>-12.39771</v>
      </c>
      <c r="D29" s="15" t="n">
        <f aca="false">C29+D28</f>
        <v>-4.19313</v>
      </c>
      <c r="E29" s="15" t="n">
        <f aca="false">D29+E28</f>
        <v>24.61374</v>
      </c>
      <c r="F29" s="15" t="n">
        <f aca="false">E29+F28</f>
        <v>74.0229</v>
      </c>
      <c r="G29" s="15" t="n">
        <f aca="false">F29+G28</f>
        <v>144.03435</v>
      </c>
      <c r="H29" s="15" t="n">
        <f aca="false">G29+H28</f>
        <v>234.64809</v>
      </c>
      <c r="I29" s="15" t="n">
        <f aca="false">H29+I28</f>
        <v>325.26183</v>
      </c>
      <c r="J29" s="15" t="n">
        <f aca="false">I29+J28</f>
        <v>415.87557</v>
      </c>
      <c r="K29" s="15" t="n">
        <f aca="false">J29+K28</f>
        <v>506.48931</v>
      </c>
      <c r="L29" s="15" t="n">
        <f aca="false">K29+L28</f>
        <v>597.10305</v>
      </c>
      <c r="M29" s="15" t="n">
        <f aca="false">L29+M28</f>
        <v>687.71679</v>
      </c>
      <c r="N29" s="15" t="n">
        <f aca="false">M29+N28</f>
        <v>790.93282</v>
      </c>
      <c r="O29" s="15" t="n">
        <f aca="false">N29+O28</f>
        <v>914.75114</v>
      </c>
      <c r="P29" s="15" t="n">
        <f aca="false">O29+P28</f>
        <v>1059.17175</v>
      </c>
      <c r="Q29" s="15" t="n">
        <f aca="false">P29+Q28</f>
        <v>1224.19465</v>
      </c>
      <c r="R29" s="15" t="n">
        <f aca="false">Q29+R28</f>
        <v>1409.81984</v>
      </c>
      <c r="S29" s="15" t="n">
        <f aca="false">R29+S28</f>
        <v>1616.04732</v>
      </c>
      <c r="T29" s="15" t="n">
        <f aca="false">S29+T28</f>
        <v>1842.87709</v>
      </c>
      <c r="U29" s="15" t="n">
        <f aca="false">T29+U28</f>
        <v>2102.91144</v>
      </c>
      <c r="V29" s="15" t="n">
        <f aca="false">U29+V28</f>
        <v>2404.15037</v>
      </c>
      <c r="W29" s="15" t="n">
        <f aca="false">V29+W28</f>
        <v>2725.99159</v>
      </c>
      <c r="X29" s="15" t="n">
        <f aca="false">W29+X28</f>
        <v>3068.4351</v>
      </c>
      <c r="Y29" s="15" t="n">
        <f aca="false">X29+Y28</f>
        <v>3423.4809</v>
      </c>
      <c r="Z29" s="15" t="n">
        <f aca="false">Y29+Z28</f>
        <v>3799.12899</v>
      </c>
    </row>
    <row r="31" customFormat="false" ht="18" hidden="false" customHeight="true" outlineLevel="0" collapsed="false">
      <c r="A31" s="6" t="s">
        <v>151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B32" s="8" t="s">
        <v>152</v>
      </c>
      <c r="Z32" s="17" t="n">
        <f aca="false">Z20/MAX(1,Z13+Z15)</f>
        <v>21.99</v>
      </c>
    </row>
    <row r="33" customFormat="false" ht="15" hidden="false" customHeight="false" outlineLevel="0" collapsed="false">
      <c r="B33" s="8" t="s">
        <v>153</v>
      </c>
      <c r="Z33" s="18" t="n">
        <f aca="false">1/Assumpties!$C$17</f>
        <v>10</v>
      </c>
    </row>
    <row r="34" customFormat="false" ht="15" hidden="false" customHeight="false" outlineLevel="0" collapsed="false">
      <c r="B34" s="8" t="s">
        <v>154</v>
      </c>
      <c r="Z34" s="15" t="n">
        <f aca="false">Assumpties!$C$24/Assumpties!$C$17*(1-Assumpties!$C$33)</f>
        <v>213.5229</v>
      </c>
    </row>
    <row r="35" customFormat="false" ht="15" hidden="false" customHeight="false" outlineLevel="0" collapsed="false">
      <c r="B35" s="8" t="s">
        <v>155</v>
      </c>
      <c r="Z35" s="15" t="n">
        <f aca="false">Assumpties!$C$25/Assumpties!$C$18*(1-Assumpties!$C$33)</f>
        <v>3884</v>
      </c>
    </row>
    <row r="36" customFormat="false" ht="15" hidden="false" customHeight="false" outlineLevel="0" collapsed="false">
      <c r="B36" s="8" t="s">
        <v>156</v>
      </c>
      <c r="Z36" s="19" t="n">
        <f aca="false">(Assumpties!$C$24/Assumpties!$C$17*(1-Assumpties!$C$33))/Assumpties!$C$38</f>
        <v>26.6903625</v>
      </c>
    </row>
    <row r="37" customFormat="false" ht="15" hidden="false" customHeight="false" outlineLevel="0" collapsed="false">
      <c r="B37" s="8" t="s">
        <v>157</v>
      </c>
      <c r="Z37" s="18" t="n">
        <f aca="false">Assumpties!$C$38/Assumpties!$C$24</f>
        <v>0.363801728058208</v>
      </c>
    </row>
  </sheetData>
  <mergeCells count="6">
    <mergeCell ref="A1:Z1"/>
    <mergeCell ref="A5:Z5"/>
    <mergeCell ref="A11:Z11"/>
    <mergeCell ref="A17:Z17"/>
    <mergeCell ref="A23:Z23"/>
    <mergeCell ref="A31:Z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26" min="3" style="0" width="12"/>
    <col collapsed="false" customWidth="true" hidden="false" outlineLevel="0" max="27" min="27" style="0" width="4"/>
  </cols>
  <sheetData>
    <row r="1" customFormat="false" ht="24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2.8" hidden="false" customHeight="false" outlineLevel="0" collapsed="false">
      <c r="B2" s="5" t="s">
        <v>103</v>
      </c>
    </row>
    <row r="4" customFormat="false" ht="21.75" hidden="false" customHeight="true" outlineLevel="0" collapsed="false">
      <c r="A4" s="7"/>
      <c r="B4" s="7" t="s">
        <v>104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7" t="s">
        <v>112</v>
      </c>
      <c r="K4" s="7" t="s">
        <v>113</v>
      </c>
      <c r="L4" s="7" t="s">
        <v>114</v>
      </c>
      <c r="M4" s="7" t="s">
        <v>115</v>
      </c>
      <c r="N4" s="7" t="s">
        <v>116</v>
      </c>
      <c r="O4" s="7" t="s">
        <v>117</v>
      </c>
      <c r="P4" s="7" t="s">
        <v>118</v>
      </c>
      <c r="Q4" s="7" t="s">
        <v>119</v>
      </c>
      <c r="R4" s="7" t="s">
        <v>120</v>
      </c>
      <c r="S4" s="7" t="s">
        <v>121</v>
      </c>
      <c r="T4" s="7" t="s">
        <v>122</v>
      </c>
      <c r="U4" s="7" t="s">
        <v>123</v>
      </c>
      <c r="V4" s="7" t="s">
        <v>124</v>
      </c>
      <c r="W4" s="7" t="s">
        <v>125</v>
      </c>
      <c r="X4" s="7" t="s">
        <v>126</v>
      </c>
      <c r="Y4" s="7" t="s">
        <v>127</v>
      </c>
      <c r="Z4" s="7" t="s">
        <v>128</v>
      </c>
      <c r="AA4" s="7"/>
    </row>
    <row r="5" customFormat="false" ht="18" hidden="false" customHeight="true" outlineLevel="0" collapsed="false">
      <c r="A5" s="6" t="s">
        <v>129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B6" s="4" t="s">
        <v>130</v>
      </c>
      <c r="C6" s="14" t="n">
        <f aca="false">Assumpties!$C$7</f>
        <v>30</v>
      </c>
      <c r="D6" s="14" t="n">
        <f aca="false">ROUND(C6*(1+Assumpties!$C$8),0)</f>
        <v>32</v>
      </c>
      <c r="E6" s="14" t="n">
        <f aca="false">ROUND(D6*(1+Assumpties!$C$8),0)</f>
        <v>35</v>
      </c>
      <c r="F6" s="14" t="n">
        <f aca="false">ROUND(E6*(1+Assumpties!$C$8),0)</f>
        <v>38</v>
      </c>
      <c r="G6" s="14" t="n">
        <f aca="false">ROUND(F6*(1+Assumpties!$C$8),0)</f>
        <v>41</v>
      </c>
      <c r="H6" s="14" t="n">
        <f aca="false">ROUND(G6*(1+Assumpties!$C$8),0)</f>
        <v>44</v>
      </c>
      <c r="I6" s="14" t="n">
        <f aca="false">ROUND(H6*(1+Assumpties!$C$8),0)</f>
        <v>48</v>
      </c>
      <c r="J6" s="14" t="n">
        <f aca="false">ROUND(I6*(1+Assumpties!$C$8),0)</f>
        <v>52</v>
      </c>
      <c r="K6" s="14" t="n">
        <f aca="false">ROUND(J6*(1+Assumpties!$C$8),0)</f>
        <v>56</v>
      </c>
      <c r="L6" s="14" t="n">
        <f aca="false">ROUND(K6*(1+Assumpties!$C$8),0)</f>
        <v>60</v>
      </c>
      <c r="M6" s="14" t="n">
        <f aca="false">ROUND(L6*(1+Assumpties!$C$8),0)</f>
        <v>65</v>
      </c>
      <c r="N6" s="14" t="n">
        <f aca="false">ROUND(M6*(1+Assumpties!$C$8),0)</f>
        <v>70</v>
      </c>
      <c r="O6" s="14" t="n">
        <f aca="false">ROUND(N6*(1+Assumpties!$C$8),0)</f>
        <v>76</v>
      </c>
      <c r="P6" s="14" t="n">
        <f aca="false">ROUND(O6*(1+Assumpties!$C$8),0)</f>
        <v>82</v>
      </c>
      <c r="Q6" s="14" t="n">
        <f aca="false">ROUND(P6*(1+Assumpties!$C$8),0)</f>
        <v>89</v>
      </c>
      <c r="R6" s="14" t="n">
        <f aca="false">ROUND(Q6*(1+Assumpties!$C$8),0)</f>
        <v>96</v>
      </c>
      <c r="S6" s="14" t="n">
        <f aca="false">ROUND(R6*(1+Assumpties!$C$8),0)</f>
        <v>104</v>
      </c>
      <c r="T6" s="14" t="n">
        <f aca="false">ROUND(S6*(1+Assumpties!$C$8),0)</f>
        <v>112</v>
      </c>
      <c r="U6" s="14" t="n">
        <f aca="false">ROUND(T6*(1+Assumpties!$C$8),0)</f>
        <v>121</v>
      </c>
      <c r="V6" s="14" t="n">
        <f aca="false">ROUND(U6*(1+Assumpties!$C$8),0)</f>
        <v>131</v>
      </c>
      <c r="W6" s="14" t="n">
        <f aca="false">ROUND(V6*(1+Assumpties!$C$8),0)</f>
        <v>141</v>
      </c>
      <c r="X6" s="14" t="n">
        <f aca="false">ROUND(W6*(1+Assumpties!$C$8),0)</f>
        <v>152</v>
      </c>
      <c r="Y6" s="14" t="n">
        <f aca="false">ROUND(X6*(1+Assumpties!$C$8),0)</f>
        <v>164</v>
      </c>
      <c r="Z6" s="14" t="n">
        <f aca="false">ROUND(Y6*(1+Assumpties!$C$8),0)</f>
        <v>177</v>
      </c>
    </row>
    <row r="7" customFormat="false" ht="15" hidden="false" customHeight="false" outlineLevel="0" collapsed="false">
      <c r="B7" s="8" t="s">
        <v>131</v>
      </c>
      <c r="C7" s="14" t="n">
        <f aca="false">C6</f>
        <v>30</v>
      </c>
      <c r="D7" s="14" t="n">
        <f aca="false">C7+D6</f>
        <v>62</v>
      </c>
      <c r="E7" s="14" t="n">
        <f aca="false">D7+E6</f>
        <v>97</v>
      </c>
      <c r="F7" s="14" t="n">
        <f aca="false">E7+F6</f>
        <v>135</v>
      </c>
      <c r="G7" s="14" t="n">
        <f aca="false">F7+G6</f>
        <v>176</v>
      </c>
      <c r="H7" s="14" t="n">
        <f aca="false">G7+H6</f>
        <v>220</v>
      </c>
      <c r="I7" s="14" t="n">
        <f aca="false">H7+I6</f>
        <v>268</v>
      </c>
      <c r="J7" s="14" t="n">
        <f aca="false">I7+J6</f>
        <v>320</v>
      </c>
      <c r="K7" s="14" t="n">
        <f aca="false">J7+K6</f>
        <v>376</v>
      </c>
      <c r="L7" s="14" t="n">
        <f aca="false">K7+L6</f>
        <v>436</v>
      </c>
      <c r="M7" s="14" t="n">
        <f aca="false">L7+M6</f>
        <v>501</v>
      </c>
      <c r="N7" s="14" t="n">
        <f aca="false">M7+N6</f>
        <v>571</v>
      </c>
      <c r="O7" s="14" t="n">
        <f aca="false">N7+O6</f>
        <v>647</v>
      </c>
      <c r="P7" s="14" t="n">
        <f aca="false">O7+P6</f>
        <v>729</v>
      </c>
      <c r="Q7" s="14" t="n">
        <f aca="false">P7+Q6</f>
        <v>818</v>
      </c>
      <c r="R7" s="14" t="n">
        <f aca="false">Q7+R6</f>
        <v>914</v>
      </c>
      <c r="S7" s="14" t="n">
        <f aca="false">R7+S6</f>
        <v>1018</v>
      </c>
      <c r="T7" s="14" t="n">
        <f aca="false">S7+T6</f>
        <v>1130</v>
      </c>
      <c r="U7" s="14" t="n">
        <f aca="false">T7+U6</f>
        <v>1251</v>
      </c>
      <c r="V7" s="14" t="n">
        <f aca="false">U7+V6</f>
        <v>1382</v>
      </c>
      <c r="W7" s="14" t="n">
        <f aca="false">V7+W6</f>
        <v>1523</v>
      </c>
      <c r="X7" s="14" t="n">
        <f aca="false">W7+X6</f>
        <v>1675</v>
      </c>
      <c r="Y7" s="14" t="n">
        <f aca="false">X7+Y6</f>
        <v>1839</v>
      </c>
      <c r="Z7" s="14" t="n">
        <f aca="false">Y7+Z6</f>
        <v>2016</v>
      </c>
    </row>
    <row r="8" customFormat="false" ht="15" hidden="false" customHeight="false" outlineLevel="0" collapsed="false">
      <c r="B8" s="8" t="s">
        <v>132</v>
      </c>
      <c r="C8" s="14" t="n">
        <f aca="false">ROUND(C7*Assumpties!$C$9,0)</f>
        <v>17</v>
      </c>
      <c r="D8" s="14" t="n">
        <f aca="false">ROUND(D7*Assumpties!$C$9,0)</f>
        <v>34</v>
      </c>
      <c r="E8" s="14" t="n">
        <f aca="false">ROUND(E7*Assumpties!$C$9,0)</f>
        <v>53</v>
      </c>
      <c r="F8" s="14" t="n">
        <f aca="false">ROUND(F7*Assumpties!$C$9,0)</f>
        <v>74</v>
      </c>
      <c r="G8" s="14" t="n">
        <f aca="false">ROUND(G7*Assumpties!$C$9,0)</f>
        <v>97</v>
      </c>
      <c r="H8" s="14" t="n">
        <f aca="false">ROUND(H7*Assumpties!$C$9,0)</f>
        <v>121</v>
      </c>
      <c r="I8" s="14" t="n">
        <f aca="false">ROUND(I7*Assumpties!$C$9,0)</f>
        <v>147</v>
      </c>
      <c r="J8" s="14" t="n">
        <f aca="false">ROUND(J7*Assumpties!$C$9,0)</f>
        <v>176</v>
      </c>
      <c r="K8" s="14" t="n">
        <f aca="false">ROUND(K7*Assumpties!$C$9,0)</f>
        <v>207</v>
      </c>
      <c r="L8" s="14" t="n">
        <f aca="false">ROUND(L7*Assumpties!$C$9,0)</f>
        <v>240</v>
      </c>
      <c r="M8" s="14" t="n">
        <f aca="false">ROUND(M7*Assumpties!$C$9,0)</f>
        <v>276</v>
      </c>
      <c r="N8" s="14" t="n">
        <f aca="false">ROUND(N7*Assumpties!$C$9,0)</f>
        <v>314</v>
      </c>
      <c r="O8" s="14" t="n">
        <f aca="false">ROUND(O7*Assumpties!$C$9,0)</f>
        <v>356</v>
      </c>
      <c r="P8" s="14" t="n">
        <f aca="false">ROUND(P7*Assumpties!$C$9,0)</f>
        <v>401</v>
      </c>
      <c r="Q8" s="14" t="n">
        <f aca="false">ROUND(Q7*Assumpties!$C$9,0)</f>
        <v>450</v>
      </c>
      <c r="R8" s="14" t="n">
        <f aca="false">ROUND(R7*Assumpties!$C$9,0)</f>
        <v>503</v>
      </c>
      <c r="S8" s="14" t="n">
        <f aca="false">ROUND(S7*Assumpties!$C$9,0)</f>
        <v>560</v>
      </c>
      <c r="T8" s="14" t="n">
        <f aca="false">ROUND(T7*Assumpties!$C$9,0)</f>
        <v>622</v>
      </c>
      <c r="U8" s="14" t="n">
        <f aca="false">ROUND(U7*Assumpties!$C$9,0)</f>
        <v>688</v>
      </c>
      <c r="V8" s="14" t="n">
        <f aca="false">ROUND(V7*Assumpties!$C$9,0)</f>
        <v>760</v>
      </c>
      <c r="W8" s="14" t="n">
        <f aca="false">ROUND(W7*Assumpties!$C$9,0)</f>
        <v>838</v>
      </c>
      <c r="X8" s="14" t="n">
        <f aca="false">ROUND(X7*Assumpties!$C$9,0)</f>
        <v>921</v>
      </c>
      <c r="Y8" s="14" t="n">
        <f aca="false">ROUND(Y7*Assumpties!$C$9,0)</f>
        <v>1011</v>
      </c>
      <c r="Z8" s="14" t="n">
        <f aca="false">ROUND(Z7*Assumpties!$C$9,0)</f>
        <v>1109</v>
      </c>
    </row>
    <row r="9" customFormat="false" ht="15" hidden="false" customHeight="false" outlineLevel="0" collapsed="false">
      <c r="B9" s="4" t="s">
        <v>133</v>
      </c>
      <c r="C9" s="14" t="n">
        <f aca="false">ROUND(C6*Assumpties!$C$9*Assumpties!$C$10,0)</f>
        <v>1</v>
      </c>
      <c r="D9" s="14" t="n">
        <f aca="false">ROUND(D6*Assumpties!$C$9*Assumpties!$C$10,0)</f>
        <v>1</v>
      </c>
      <c r="E9" s="14" t="n">
        <f aca="false">ROUND(E6*Assumpties!$C$9*Assumpties!$C$10,0)</f>
        <v>1</v>
      </c>
      <c r="F9" s="14" t="n">
        <f aca="false">ROUND(F6*Assumpties!$C$9*Assumpties!$C$10,0)</f>
        <v>1</v>
      </c>
      <c r="G9" s="14" t="n">
        <f aca="false">ROUND(G6*Assumpties!$C$9*Assumpties!$C$10,0)</f>
        <v>1</v>
      </c>
      <c r="H9" s="14" t="n">
        <f aca="false">ROUND(H6*Assumpties!$C$9*Assumpties!$C$10,0)</f>
        <v>1</v>
      </c>
      <c r="I9" s="14" t="n">
        <f aca="false">ROUND(I6*Assumpties!$C$9*Assumpties!$C$10,0)</f>
        <v>1</v>
      </c>
      <c r="J9" s="14" t="n">
        <f aca="false">ROUND(J6*Assumpties!$C$9*Assumpties!$C$10,0)</f>
        <v>1</v>
      </c>
      <c r="K9" s="14" t="n">
        <f aca="false">ROUND(K6*Assumpties!$C$9*Assumpties!$C$10,0)</f>
        <v>1</v>
      </c>
      <c r="L9" s="14" t="n">
        <f aca="false">ROUND(L6*Assumpties!$C$9*Assumpties!$C$10,0)</f>
        <v>1</v>
      </c>
      <c r="M9" s="14" t="n">
        <f aca="false">ROUND(M6*Assumpties!$C$9*Assumpties!$C$10,0)</f>
        <v>1</v>
      </c>
      <c r="N9" s="14" t="n">
        <f aca="false">ROUND(N6*Assumpties!$C$9*Assumpties!$C$10,0)</f>
        <v>2</v>
      </c>
      <c r="O9" s="14" t="n">
        <f aca="false">ROUND(O6*Assumpties!$C$9*Assumpties!$C$10,0)</f>
        <v>2</v>
      </c>
      <c r="P9" s="14" t="n">
        <f aca="false">ROUND(P6*Assumpties!$C$9*Assumpties!$C$10,0)</f>
        <v>2</v>
      </c>
      <c r="Q9" s="14" t="n">
        <f aca="false">ROUND(Q6*Assumpties!$C$9*Assumpties!$C$10,0)</f>
        <v>2</v>
      </c>
      <c r="R9" s="14" t="n">
        <f aca="false">ROUND(R6*Assumpties!$C$9*Assumpties!$C$10,0)</f>
        <v>2</v>
      </c>
      <c r="S9" s="14" t="n">
        <f aca="false">ROUND(S6*Assumpties!$C$9*Assumpties!$C$10,0)</f>
        <v>2</v>
      </c>
      <c r="T9" s="14" t="n">
        <f aca="false">ROUND(T6*Assumpties!$C$9*Assumpties!$C$10,0)</f>
        <v>2</v>
      </c>
      <c r="U9" s="14" t="n">
        <f aca="false">ROUND(U6*Assumpties!$C$9*Assumpties!$C$10,0)</f>
        <v>3</v>
      </c>
      <c r="V9" s="14" t="n">
        <f aca="false">ROUND(V6*Assumpties!$C$9*Assumpties!$C$10,0)</f>
        <v>3</v>
      </c>
      <c r="W9" s="14" t="n">
        <f aca="false">ROUND(W6*Assumpties!$C$9*Assumpties!$C$10,0)</f>
        <v>3</v>
      </c>
      <c r="X9" s="14" t="n">
        <f aca="false">ROUND(X6*Assumpties!$C$9*Assumpties!$C$10,0)</f>
        <v>3</v>
      </c>
      <c r="Y9" s="14" t="n">
        <f aca="false">ROUND(Y6*Assumpties!$C$9*Assumpties!$C$10,0)</f>
        <v>4</v>
      </c>
      <c r="Z9" s="14" t="n">
        <f aca="false">ROUND(Z6*Assumpties!$C$9*Assumpties!$C$10,0)</f>
        <v>4</v>
      </c>
    </row>
    <row r="11" customFormat="false" ht="18" hidden="false" customHeight="true" outlineLevel="0" collapsed="false">
      <c r="A11" s="6" t="s">
        <v>159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B12" s="8" t="s">
        <v>160</v>
      </c>
      <c r="C12" s="14" t="n">
        <f aca="false">ROUND(C9*Assumpties!$C$11,0)</f>
        <v>1</v>
      </c>
      <c r="D12" s="14" t="n">
        <f aca="false">ROUND(D9*Assumpties!$C$11,0)</f>
        <v>1</v>
      </c>
      <c r="E12" s="14" t="n">
        <f aca="false">ROUND(E9*Assumpties!$C$11,0)</f>
        <v>1</v>
      </c>
      <c r="F12" s="14" t="n">
        <f aca="false">ROUND(F9*Assumpties!$C$11,0)</f>
        <v>1</v>
      </c>
      <c r="G12" s="14" t="n">
        <f aca="false">ROUND(G9*Assumpties!$C$11,0)</f>
        <v>1</v>
      </c>
      <c r="H12" s="14" t="n">
        <f aca="false">ROUND(H9*Assumpties!$C$11,0)</f>
        <v>1</v>
      </c>
      <c r="I12" s="14" t="n">
        <f aca="false">ROUND(I9*Assumpties!$C$11,0)</f>
        <v>1</v>
      </c>
      <c r="J12" s="14" t="n">
        <f aca="false">ROUND(J9*Assumpties!$C$11,0)</f>
        <v>1</v>
      </c>
      <c r="K12" s="14" t="n">
        <f aca="false">ROUND(K9*Assumpties!$C$11,0)</f>
        <v>1</v>
      </c>
      <c r="L12" s="14" t="n">
        <f aca="false">ROUND(L9*Assumpties!$C$11,0)</f>
        <v>1</v>
      </c>
      <c r="M12" s="14" t="n">
        <f aca="false">ROUND(M9*Assumpties!$C$11,0)</f>
        <v>1</v>
      </c>
      <c r="N12" s="14" t="n">
        <f aca="false">ROUND(N9*Assumpties!$C$11,0)</f>
        <v>2</v>
      </c>
      <c r="O12" s="14" t="n">
        <f aca="false">ROUND(O9*Assumpties!$C$11,0)</f>
        <v>2</v>
      </c>
      <c r="P12" s="14" t="n">
        <f aca="false">ROUND(P9*Assumpties!$C$11,0)</f>
        <v>2</v>
      </c>
      <c r="Q12" s="14" t="n">
        <f aca="false">ROUND(Q9*Assumpties!$C$11,0)</f>
        <v>2</v>
      </c>
      <c r="R12" s="14" t="n">
        <f aca="false">ROUND(R9*Assumpties!$C$11,0)</f>
        <v>2</v>
      </c>
      <c r="S12" s="14" t="n">
        <f aca="false">ROUND(S9*Assumpties!$C$11,0)</f>
        <v>2</v>
      </c>
      <c r="T12" s="14" t="n">
        <f aca="false">ROUND(T9*Assumpties!$C$11,0)</f>
        <v>2</v>
      </c>
      <c r="U12" s="14" t="n">
        <f aca="false">ROUND(U9*Assumpties!$C$11,0)</f>
        <v>3</v>
      </c>
      <c r="V12" s="14" t="n">
        <f aca="false">ROUND(V9*Assumpties!$C$11,0)</f>
        <v>3</v>
      </c>
      <c r="W12" s="14" t="n">
        <f aca="false">ROUND(W9*Assumpties!$C$11,0)</f>
        <v>3</v>
      </c>
      <c r="X12" s="14" t="n">
        <f aca="false">ROUND(X9*Assumpties!$C$11,0)</f>
        <v>3</v>
      </c>
      <c r="Y12" s="14" t="n">
        <f aca="false">ROUND(Y9*Assumpties!$C$11,0)</f>
        <v>3</v>
      </c>
      <c r="Z12" s="14" t="n">
        <f aca="false">ROUND(Z9*Assumpties!$C$11,0)</f>
        <v>3</v>
      </c>
    </row>
    <row r="13" customFormat="false" ht="15" hidden="false" customHeight="false" outlineLevel="0" collapsed="false">
      <c r="B13" s="8" t="s">
        <v>136</v>
      </c>
      <c r="C13" s="14" t="n">
        <f aca="false">C12</f>
        <v>1</v>
      </c>
      <c r="D13" s="14" t="n">
        <f aca="false">ROUND(C13*(1-Assumpties!$C$17)+D12,0)</f>
        <v>2</v>
      </c>
      <c r="E13" s="14" t="n">
        <f aca="false">ROUND(D13*(1-Assumpties!$C$17)+E12,0)</f>
        <v>3</v>
      </c>
      <c r="F13" s="14" t="n">
        <f aca="false">ROUND(E13*(1-Assumpties!$C$17)+F12,0)</f>
        <v>4</v>
      </c>
      <c r="G13" s="14" t="n">
        <f aca="false">ROUND(F13*(1-Assumpties!$C$17)+G12,0)</f>
        <v>5</v>
      </c>
      <c r="H13" s="14" t="n">
        <f aca="false">ROUND(G13*(1-Assumpties!$C$17)+H12,0)</f>
        <v>6</v>
      </c>
      <c r="I13" s="14" t="n">
        <f aca="false">ROUND(H13*(1-Assumpties!$C$17)+I12,0)</f>
        <v>6</v>
      </c>
      <c r="J13" s="14" t="n">
        <f aca="false">ROUND(I13*(1-Assumpties!$C$17)+J12,0)</f>
        <v>6</v>
      </c>
      <c r="K13" s="14" t="n">
        <f aca="false">ROUND(J13*(1-Assumpties!$C$17)+K12,0)</f>
        <v>6</v>
      </c>
      <c r="L13" s="14" t="n">
        <f aca="false">ROUND(K13*(1-Assumpties!$C$17)+L12,0)</f>
        <v>6</v>
      </c>
      <c r="M13" s="14" t="n">
        <f aca="false">ROUND(L13*(1-Assumpties!$C$17)+M12,0)</f>
        <v>6</v>
      </c>
      <c r="N13" s="14" t="n">
        <f aca="false">ROUND(M13*(1-Assumpties!$C$17)+N12,0)</f>
        <v>7</v>
      </c>
      <c r="O13" s="14" t="n">
        <f aca="false">ROUND(N13*(1-Assumpties!$C$17)+O12,0)</f>
        <v>8</v>
      </c>
      <c r="P13" s="14" t="n">
        <f aca="false">ROUND(O13*(1-Assumpties!$C$17)+P12,0)</f>
        <v>9</v>
      </c>
      <c r="Q13" s="14" t="n">
        <f aca="false">ROUND(P13*(1-Assumpties!$C$17)+Q12,0)</f>
        <v>10</v>
      </c>
      <c r="R13" s="14" t="n">
        <f aca="false">ROUND(Q13*(1-Assumpties!$C$17)+R12,0)</f>
        <v>11</v>
      </c>
      <c r="S13" s="14" t="n">
        <f aca="false">ROUND(R13*(1-Assumpties!$C$17)+S12,0)</f>
        <v>12</v>
      </c>
      <c r="T13" s="14" t="n">
        <f aca="false">ROUND(S13*(1-Assumpties!$C$17)+T12,0)</f>
        <v>13</v>
      </c>
      <c r="U13" s="14" t="n">
        <f aca="false">ROUND(T13*(1-Assumpties!$C$17)+U12,0)</f>
        <v>15</v>
      </c>
      <c r="V13" s="14" t="n">
        <f aca="false">ROUND(U13*(1-Assumpties!$C$17)+V12,0)</f>
        <v>17</v>
      </c>
      <c r="W13" s="14" t="n">
        <f aca="false">ROUND(V13*(1-Assumpties!$C$17)+W12,0)</f>
        <v>18</v>
      </c>
      <c r="X13" s="14" t="n">
        <f aca="false">ROUND(W13*(1-Assumpties!$C$17)+X12,0)</f>
        <v>19</v>
      </c>
      <c r="Y13" s="14" t="n">
        <f aca="false">ROUND(X13*(1-Assumpties!$C$17)+Y12,0)</f>
        <v>20</v>
      </c>
      <c r="Z13" s="14" t="n">
        <f aca="false">ROUND(Y13*(1-Assumpties!$C$17)+Z12,0)</f>
        <v>21</v>
      </c>
    </row>
    <row r="14" customFormat="false" ht="15" hidden="false" customHeight="false" outlineLevel="0" collapsed="false">
      <c r="B14" s="8" t="s">
        <v>161</v>
      </c>
      <c r="C14" s="14" t="n">
        <f aca="false">ROUND(C9*Assumpties!$C$12,0)</f>
        <v>0</v>
      </c>
      <c r="D14" s="14" t="n">
        <f aca="false">ROUND(D9*Assumpties!$C$12,0)</f>
        <v>0</v>
      </c>
      <c r="E14" s="14" t="n">
        <f aca="false">ROUND(E9*Assumpties!$C$12,0)</f>
        <v>0</v>
      </c>
      <c r="F14" s="14" t="n">
        <f aca="false">ROUND(F9*Assumpties!$C$12,0)</f>
        <v>0</v>
      </c>
      <c r="G14" s="14" t="n">
        <f aca="false">ROUND(G9*Assumpties!$C$12,0)</f>
        <v>0</v>
      </c>
      <c r="H14" s="14" t="n">
        <f aca="false">ROUND(H9*Assumpties!$C$12,0)</f>
        <v>0</v>
      </c>
      <c r="I14" s="14" t="n">
        <f aca="false">ROUND(I9*Assumpties!$C$12,0)</f>
        <v>0</v>
      </c>
      <c r="J14" s="14" t="n">
        <f aca="false">ROUND(J9*Assumpties!$C$12,0)</f>
        <v>0</v>
      </c>
      <c r="K14" s="14" t="n">
        <f aca="false">ROUND(K9*Assumpties!$C$12,0)</f>
        <v>0</v>
      </c>
      <c r="L14" s="14" t="n">
        <f aca="false">ROUND(L9*Assumpties!$C$12,0)</f>
        <v>0</v>
      </c>
      <c r="M14" s="14" t="n">
        <f aca="false">ROUND(M9*Assumpties!$C$12,0)</f>
        <v>0</v>
      </c>
      <c r="N14" s="14" t="n">
        <f aca="false">ROUND(N9*Assumpties!$C$12,0)</f>
        <v>0</v>
      </c>
      <c r="O14" s="14" t="n">
        <f aca="false">ROUND(O9*Assumpties!$C$12,0)</f>
        <v>0</v>
      </c>
      <c r="P14" s="14" t="n">
        <f aca="false">ROUND(P9*Assumpties!$C$12,0)</f>
        <v>0</v>
      </c>
      <c r="Q14" s="14" t="n">
        <f aca="false">ROUND(Q9*Assumpties!$C$12,0)</f>
        <v>0</v>
      </c>
      <c r="R14" s="14" t="n">
        <f aca="false">ROUND(R9*Assumpties!$C$12,0)</f>
        <v>0</v>
      </c>
      <c r="S14" s="14" t="n">
        <f aca="false">ROUND(S9*Assumpties!$C$12,0)</f>
        <v>0</v>
      </c>
      <c r="T14" s="14" t="n">
        <f aca="false">ROUND(T9*Assumpties!$C$12,0)</f>
        <v>0</v>
      </c>
      <c r="U14" s="14" t="n">
        <f aca="false">ROUND(U9*Assumpties!$C$12,0)</f>
        <v>0</v>
      </c>
      <c r="V14" s="14" t="n">
        <f aca="false">ROUND(V9*Assumpties!$C$12,0)</f>
        <v>0</v>
      </c>
      <c r="W14" s="14" t="n">
        <f aca="false">ROUND(W9*Assumpties!$C$12,0)</f>
        <v>0</v>
      </c>
      <c r="X14" s="14" t="n">
        <f aca="false">ROUND(X9*Assumpties!$C$12,0)</f>
        <v>0</v>
      </c>
      <c r="Y14" s="14" t="n">
        <f aca="false">ROUND(Y9*Assumpties!$C$12,0)</f>
        <v>0</v>
      </c>
      <c r="Z14" s="14" t="n">
        <f aca="false">ROUND(Z9*Assumpties!$C$12,0)</f>
        <v>0</v>
      </c>
    </row>
    <row r="15" customFormat="false" ht="15" hidden="false" customHeight="false" outlineLevel="0" collapsed="false">
      <c r="B15" s="8" t="s">
        <v>138</v>
      </c>
      <c r="C15" s="14" t="n">
        <f aca="false">C14</f>
        <v>0</v>
      </c>
      <c r="D15" s="14" t="n">
        <f aca="false">ROUND(C15*(1-Assumpties!$C$18)+D14,0)</f>
        <v>0</v>
      </c>
      <c r="E15" s="14" t="n">
        <f aca="false">ROUND(D15*(1-Assumpties!$C$18)+E14,0)</f>
        <v>0</v>
      </c>
      <c r="F15" s="14" t="n">
        <f aca="false">ROUND(E15*(1-Assumpties!$C$18)+F14,0)</f>
        <v>0</v>
      </c>
      <c r="G15" s="14" t="n">
        <f aca="false">ROUND(F15*(1-Assumpties!$C$18)+G14,0)</f>
        <v>0</v>
      </c>
      <c r="H15" s="14" t="n">
        <f aca="false">ROUND(G15*(1-Assumpties!$C$18)+H14,0)</f>
        <v>0</v>
      </c>
      <c r="I15" s="14" t="n">
        <f aca="false">ROUND(H15*(1-Assumpties!$C$18)+I14,0)</f>
        <v>0</v>
      </c>
      <c r="J15" s="14" t="n">
        <f aca="false">ROUND(I15*(1-Assumpties!$C$18)+J14,0)</f>
        <v>0</v>
      </c>
      <c r="K15" s="14" t="n">
        <f aca="false">ROUND(J15*(1-Assumpties!$C$18)+K14,0)</f>
        <v>0</v>
      </c>
      <c r="L15" s="14" t="n">
        <f aca="false">ROUND(K15*(1-Assumpties!$C$18)+L14,0)</f>
        <v>0</v>
      </c>
      <c r="M15" s="14" t="n">
        <f aca="false">ROUND(L15*(1-Assumpties!$C$18)+M14,0)</f>
        <v>0</v>
      </c>
      <c r="N15" s="14" t="n">
        <f aca="false">ROUND(M15*(1-Assumpties!$C$18)+N14,0)</f>
        <v>0</v>
      </c>
      <c r="O15" s="14" t="n">
        <f aca="false">ROUND(N15*(1-Assumpties!$C$18)+O14,0)</f>
        <v>0</v>
      </c>
      <c r="P15" s="14" t="n">
        <f aca="false">ROUND(O15*(1-Assumpties!$C$18)+P14,0)</f>
        <v>0</v>
      </c>
      <c r="Q15" s="14" t="n">
        <f aca="false">ROUND(P15*(1-Assumpties!$C$18)+Q14,0)</f>
        <v>0</v>
      </c>
      <c r="R15" s="14" t="n">
        <f aca="false">ROUND(Q15*(1-Assumpties!$C$18)+R14,0)</f>
        <v>0</v>
      </c>
      <c r="S15" s="14" t="n">
        <f aca="false">ROUND(R15*(1-Assumpties!$C$18)+S14,0)</f>
        <v>0</v>
      </c>
      <c r="T15" s="14" t="n">
        <f aca="false">ROUND(S15*(1-Assumpties!$C$18)+T14,0)</f>
        <v>0</v>
      </c>
      <c r="U15" s="14" t="n">
        <f aca="false">ROUND(T15*(1-Assumpties!$C$18)+U14,0)</f>
        <v>0</v>
      </c>
      <c r="V15" s="14" t="n">
        <f aca="false">ROUND(U15*(1-Assumpties!$C$18)+V14,0)</f>
        <v>0</v>
      </c>
      <c r="W15" s="14" t="n">
        <f aca="false">ROUND(V15*(1-Assumpties!$C$18)+W14,0)</f>
        <v>0</v>
      </c>
      <c r="X15" s="14" t="n">
        <f aca="false">ROUND(W15*(1-Assumpties!$C$18)+X14,0)</f>
        <v>0</v>
      </c>
      <c r="Y15" s="14" t="n">
        <f aca="false">ROUND(X15*(1-Assumpties!$C$18)+Y14,0)</f>
        <v>0</v>
      </c>
      <c r="Z15" s="14" t="n">
        <f aca="false">ROUND(Y15*(1-Assumpties!$C$18)+Z14,0)</f>
        <v>0</v>
      </c>
    </row>
    <row r="17" customFormat="false" ht="18" hidden="false" customHeight="true" outlineLevel="0" collapsed="false">
      <c r="A17" s="6" t="s">
        <v>162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23.85" hidden="false" customHeight="false" outlineLevel="0" collapsed="false">
      <c r="B18" s="8" t="s">
        <v>163</v>
      </c>
      <c r="C18" s="14" t="n">
        <f aca="false">ROUND(C13*Assumpties!$C$20,0)</f>
        <v>0</v>
      </c>
      <c r="D18" s="14" t="n">
        <f aca="false">ROUND(D13*Assumpties!$C$20,0)</f>
        <v>1</v>
      </c>
      <c r="E18" s="14" t="n">
        <f aca="false">ROUND(E13*Assumpties!$C$20,0)</f>
        <v>1</v>
      </c>
      <c r="F18" s="14" t="n">
        <f aca="false">ROUND(F13*Assumpties!$C$20,0)</f>
        <v>2</v>
      </c>
      <c r="G18" s="14" t="n">
        <f aca="false">ROUND(G13*Assumpties!$C$20,0)</f>
        <v>2</v>
      </c>
      <c r="H18" s="14" t="n">
        <f aca="false">ROUND(H13*Assumpties!$C$20,0)</f>
        <v>2</v>
      </c>
      <c r="I18" s="14" t="n">
        <f aca="false">ROUND(I13*Assumpties!$C$20,0)</f>
        <v>2</v>
      </c>
      <c r="J18" s="14" t="n">
        <f aca="false">ROUND(J13*Assumpties!$C$20,0)</f>
        <v>2</v>
      </c>
      <c r="K18" s="14" t="n">
        <f aca="false">ROUND(K13*Assumpties!$C$20,0)</f>
        <v>2</v>
      </c>
      <c r="L18" s="14" t="n">
        <f aca="false">ROUND(L13*Assumpties!$C$20,0)</f>
        <v>2</v>
      </c>
      <c r="M18" s="14" t="n">
        <f aca="false">ROUND(M13*Assumpties!$C$20,0)</f>
        <v>2</v>
      </c>
      <c r="N18" s="14" t="n">
        <f aca="false">ROUND(N13*Assumpties!$C$20,0)</f>
        <v>3</v>
      </c>
      <c r="O18" s="14" t="n">
        <f aca="false">ROUND(O13*Assumpties!$C$20,0)</f>
        <v>3</v>
      </c>
      <c r="P18" s="14" t="n">
        <f aca="false">ROUND(P13*Assumpties!$C$20,0)</f>
        <v>4</v>
      </c>
      <c r="Q18" s="14" t="n">
        <f aca="false">ROUND(Q13*Assumpties!$C$20,0)</f>
        <v>4</v>
      </c>
      <c r="R18" s="14" t="n">
        <f aca="false">ROUND(R13*Assumpties!$C$20,0)</f>
        <v>4</v>
      </c>
      <c r="S18" s="14" t="n">
        <f aca="false">ROUND(S13*Assumpties!$C$20,0)</f>
        <v>5</v>
      </c>
      <c r="T18" s="14" t="n">
        <f aca="false">ROUND(T13*Assumpties!$C$20,0)</f>
        <v>5</v>
      </c>
      <c r="U18" s="14" t="n">
        <f aca="false">ROUND(U13*Assumpties!$C$20,0)</f>
        <v>6</v>
      </c>
      <c r="V18" s="14" t="n">
        <f aca="false">ROUND(V13*Assumpties!$C$20,0)</f>
        <v>7</v>
      </c>
      <c r="W18" s="14" t="n">
        <f aca="false">ROUND(W13*Assumpties!$C$20,0)</f>
        <v>7</v>
      </c>
      <c r="X18" s="14" t="n">
        <f aca="false">ROUND(X13*Assumpties!$C$20,0)</f>
        <v>8</v>
      </c>
      <c r="Y18" s="14" t="n">
        <f aca="false">ROUND(Y13*Assumpties!$C$20,0)</f>
        <v>8</v>
      </c>
      <c r="Z18" s="14" t="n">
        <f aca="false">ROUND(Z13*Assumpties!$C$20,0)</f>
        <v>8</v>
      </c>
    </row>
    <row r="20" customFormat="false" ht="18" hidden="false" customHeight="true" outlineLevel="0" collapsed="false">
      <c r="A20" s="6" t="s">
        <v>139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B21" s="8" t="s">
        <v>140</v>
      </c>
      <c r="C21" s="15" t="n">
        <f aca="false">C13*Assumpties!$C$24</f>
        <v>21.99</v>
      </c>
      <c r="D21" s="15" t="n">
        <f aca="false">D13*Assumpties!$C$24</f>
        <v>43.98</v>
      </c>
      <c r="E21" s="15" t="n">
        <f aca="false">E13*Assumpties!$C$24</f>
        <v>65.97</v>
      </c>
      <c r="F21" s="15" t="n">
        <f aca="false">F13*Assumpties!$C$24</f>
        <v>87.96</v>
      </c>
      <c r="G21" s="15" t="n">
        <f aca="false">G13*Assumpties!$C$24</f>
        <v>109.95</v>
      </c>
      <c r="H21" s="15" t="n">
        <f aca="false">H13*Assumpties!$C$24</f>
        <v>131.94</v>
      </c>
      <c r="I21" s="15" t="n">
        <f aca="false">I13*Assumpties!$C$24</f>
        <v>131.94</v>
      </c>
      <c r="J21" s="15" t="n">
        <f aca="false">J13*Assumpties!$C$24</f>
        <v>131.94</v>
      </c>
      <c r="K21" s="15" t="n">
        <f aca="false">K13*Assumpties!$C$24</f>
        <v>131.94</v>
      </c>
      <c r="L21" s="15" t="n">
        <f aca="false">L13*Assumpties!$C$24</f>
        <v>131.94</v>
      </c>
      <c r="M21" s="15" t="n">
        <f aca="false">M13*Assumpties!$C$24</f>
        <v>131.94</v>
      </c>
      <c r="N21" s="15" t="n">
        <f aca="false">N13*Assumpties!$C$24</f>
        <v>153.93</v>
      </c>
      <c r="O21" s="15" t="n">
        <f aca="false">O13*Assumpties!$C$24</f>
        <v>175.92</v>
      </c>
      <c r="P21" s="15" t="n">
        <f aca="false">P13*Assumpties!$C$24</f>
        <v>197.91</v>
      </c>
      <c r="Q21" s="15" t="n">
        <f aca="false">Q13*Assumpties!$C$24</f>
        <v>219.9</v>
      </c>
      <c r="R21" s="15" t="n">
        <f aca="false">R13*Assumpties!$C$24</f>
        <v>241.89</v>
      </c>
      <c r="S21" s="15" t="n">
        <f aca="false">S13*Assumpties!$C$24</f>
        <v>263.88</v>
      </c>
      <c r="T21" s="15" t="n">
        <f aca="false">T13*Assumpties!$C$24</f>
        <v>285.87</v>
      </c>
      <c r="U21" s="15" t="n">
        <f aca="false">U13*Assumpties!$C$24</f>
        <v>329.85</v>
      </c>
      <c r="V21" s="15" t="n">
        <f aca="false">V13*Assumpties!$C$24</f>
        <v>373.83</v>
      </c>
      <c r="W21" s="15" t="n">
        <f aca="false">W13*Assumpties!$C$24</f>
        <v>395.82</v>
      </c>
      <c r="X21" s="15" t="n">
        <f aca="false">X13*Assumpties!$C$24</f>
        <v>417.81</v>
      </c>
      <c r="Y21" s="15" t="n">
        <f aca="false">Y13*Assumpties!$C$24</f>
        <v>439.8</v>
      </c>
      <c r="Z21" s="15" t="n">
        <f aca="false">Z13*Assumpties!$C$24</f>
        <v>461.79</v>
      </c>
    </row>
    <row r="22" customFormat="false" ht="15" hidden="false" customHeight="false" outlineLevel="0" collapsed="false">
      <c r="B22" s="8" t="s">
        <v>141</v>
      </c>
      <c r="C22" s="15" t="n">
        <f aca="false">C15*Assumpties!$C$25</f>
        <v>0</v>
      </c>
      <c r="D22" s="15" t="n">
        <f aca="false">D15*Assumpties!$C$25</f>
        <v>0</v>
      </c>
      <c r="E22" s="15" t="n">
        <f aca="false">E15*Assumpties!$C$25</f>
        <v>0</v>
      </c>
      <c r="F22" s="15" t="n">
        <f aca="false">F15*Assumpties!$C$25</f>
        <v>0</v>
      </c>
      <c r="G22" s="15" t="n">
        <f aca="false">G15*Assumpties!$C$25</f>
        <v>0</v>
      </c>
      <c r="H22" s="15" t="n">
        <f aca="false">H15*Assumpties!$C$25</f>
        <v>0</v>
      </c>
      <c r="I22" s="15" t="n">
        <f aca="false">I15*Assumpties!$C$25</f>
        <v>0</v>
      </c>
      <c r="J22" s="15" t="n">
        <f aca="false">J15*Assumpties!$C$25</f>
        <v>0</v>
      </c>
      <c r="K22" s="15" t="n">
        <f aca="false">K15*Assumpties!$C$25</f>
        <v>0</v>
      </c>
      <c r="L22" s="15" t="n">
        <f aca="false">L15*Assumpties!$C$25</f>
        <v>0</v>
      </c>
      <c r="M22" s="15" t="n">
        <f aca="false">M15*Assumpties!$C$25</f>
        <v>0</v>
      </c>
      <c r="N22" s="15" t="n">
        <f aca="false">N15*Assumpties!$C$25</f>
        <v>0</v>
      </c>
      <c r="O22" s="15" t="n">
        <f aca="false">O15*Assumpties!$C$25</f>
        <v>0</v>
      </c>
      <c r="P22" s="15" t="n">
        <f aca="false">P15*Assumpties!$C$25</f>
        <v>0</v>
      </c>
      <c r="Q22" s="15" t="n">
        <f aca="false">Q15*Assumpties!$C$25</f>
        <v>0</v>
      </c>
      <c r="R22" s="15" t="n">
        <f aca="false">R15*Assumpties!$C$25</f>
        <v>0</v>
      </c>
      <c r="S22" s="15" t="n">
        <f aca="false">S15*Assumpties!$C$25</f>
        <v>0</v>
      </c>
      <c r="T22" s="15" t="n">
        <f aca="false">T15*Assumpties!$C$25</f>
        <v>0</v>
      </c>
      <c r="U22" s="15" t="n">
        <f aca="false">U15*Assumpties!$C$25</f>
        <v>0</v>
      </c>
      <c r="V22" s="15" t="n">
        <f aca="false">V15*Assumpties!$C$25</f>
        <v>0</v>
      </c>
      <c r="W22" s="15" t="n">
        <f aca="false">W15*Assumpties!$C$25</f>
        <v>0</v>
      </c>
      <c r="X22" s="15" t="n">
        <f aca="false">X15*Assumpties!$C$25</f>
        <v>0</v>
      </c>
      <c r="Y22" s="15" t="n">
        <f aca="false">Y15*Assumpties!$C$25</f>
        <v>0</v>
      </c>
      <c r="Z22" s="15" t="n">
        <f aca="false">Z15*Assumpties!$C$25</f>
        <v>0</v>
      </c>
    </row>
    <row r="23" customFormat="false" ht="15" hidden="false" customHeight="false" outlineLevel="0" collapsed="false">
      <c r="B23" s="8" t="s">
        <v>164</v>
      </c>
      <c r="C23" s="15" t="n">
        <f aca="false">C18*Assumpties!$C$27</f>
        <v>0</v>
      </c>
      <c r="D23" s="15" t="n">
        <f aca="false">D18*Assumpties!$C$27</f>
        <v>9.99</v>
      </c>
      <c r="E23" s="15" t="n">
        <f aca="false">E18*Assumpties!$C$27</f>
        <v>9.99</v>
      </c>
      <c r="F23" s="15" t="n">
        <f aca="false">F18*Assumpties!$C$27</f>
        <v>19.98</v>
      </c>
      <c r="G23" s="15" t="n">
        <f aca="false">G18*Assumpties!$C$27</f>
        <v>19.98</v>
      </c>
      <c r="H23" s="15" t="n">
        <f aca="false">H18*Assumpties!$C$27</f>
        <v>19.98</v>
      </c>
      <c r="I23" s="15" t="n">
        <f aca="false">I18*Assumpties!$C$27</f>
        <v>19.98</v>
      </c>
      <c r="J23" s="15" t="n">
        <f aca="false">J18*Assumpties!$C$27</f>
        <v>19.98</v>
      </c>
      <c r="K23" s="15" t="n">
        <f aca="false">K18*Assumpties!$C$27</f>
        <v>19.98</v>
      </c>
      <c r="L23" s="15" t="n">
        <f aca="false">L18*Assumpties!$C$27</f>
        <v>19.98</v>
      </c>
      <c r="M23" s="15" t="n">
        <f aca="false">M18*Assumpties!$C$27</f>
        <v>19.98</v>
      </c>
      <c r="N23" s="15" t="n">
        <f aca="false">N18*Assumpties!$C$27</f>
        <v>29.97</v>
      </c>
      <c r="O23" s="15" t="n">
        <f aca="false">O18*Assumpties!$C$27</f>
        <v>29.97</v>
      </c>
      <c r="P23" s="15" t="n">
        <f aca="false">P18*Assumpties!$C$27</f>
        <v>39.96</v>
      </c>
      <c r="Q23" s="15" t="n">
        <f aca="false">Q18*Assumpties!$C$27</f>
        <v>39.96</v>
      </c>
      <c r="R23" s="15" t="n">
        <f aca="false">R18*Assumpties!$C$27</f>
        <v>39.96</v>
      </c>
      <c r="S23" s="15" t="n">
        <f aca="false">S18*Assumpties!$C$27</f>
        <v>49.95</v>
      </c>
      <c r="T23" s="15" t="n">
        <f aca="false">T18*Assumpties!$C$27</f>
        <v>49.95</v>
      </c>
      <c r="U23" s="15" t="n">
        <f aca="false">U18*Assumpties!$C$27</f>
        <v>59.94</v>
      </c>
      <c r="V23" s="15" t="n">
        <f aca="false">V18*Assumpties!$C$27</f>
        <v>69.93</v>
      </c>
      <c r="W23" s="15" t="n">
        <f aca="false">W18*Assumpties!$C$27</f>
        <v>69.93</v>
      </c>
      <c r="X23" s="15" t="n">
        <f aca="false">X18*Assumpties!$C$27</f>
        <v>79.92</v>
      </c>
      <c r="Y23" s="15" t="n">
        <f aca="false">Y18*Assumpties!$C$27</f>
        <v>79.92</v>
      </c>
      <c r="Z23" s="15" t="n">
        <f aca="false">Z18*Assumpties!$C$27</f>
        <v>79.92</v>
      </c>
    </row>
    <row r="24" customFormat="false" ht="15" hidden="false" customHeight="false" outlineLevel="0" collapsed="false">
      <c r="B24" s="4" t="s">
        <v>165</v>
      </c>
      <c r="C24" s="16" t="n">
        <f aca="false">C21+C22+C23</f>
        <v>21.99</v>
      </c>
      <c r="D24" s="16" t="n">
        <f aca="false">D21+D22+D23</f>
        <v>53.97</v>
      </c>
      <c r="E24" s="16" t="n">
        <f aca="false">E21+E22+E23</f>
        <v>75.96</v>
      </c>
      <c r="F24" s="16" t="n">
        <f aca="false">F21+F22+F23</f>
        <v>107.94</v>
      </c>
      <c r="G24" s="16" t="n">
        <f aca="false">G21+G22+G23</f>
        <v>129.93</v>
      </c>
      <c r="H24" s="16" t="n">
        <f aca="false">H21+H22+H23</f>
        <v>151.92</v>
      </c>
      <c r="I24" s="16" t="n">
        <f aca="false">I21+I22+I23</f>
        <v>151.92</v>
      </c>
      <c r="J24" s="16" t="n">
        <f aca="false">J21+J22+J23</f>
        <v>151.92</v>
      </c>
      <c r="K24" s="16" t="n">
        <f aca="false">K21+K22+K23</f>
        <v>151.92</v>
      </c>
      <c r="L24" s="16" t="n">
        <f aca="false">L21+L22+L23</f>
        <v>151.92</v>
      </c>
      <c r="M24" s="16" t="n">
        <f aca="false">M21+M22+M23</f>
        <v>151.92</v>
      </c>
      <c r="N24" s="16" t="n">
        <f aca="false">N21+N22+N23</f>
        <v>183.9</v>
      </c>
      <c r="O24" s="16" t="n">
        <f aca="false">O21+O22+O23</f>
        <v>205.89</v>
      </c>
      <c r="P24" s="16" t="n">
        <f aca="false">P21+P22+P23</f>
        <v>237.87</v>
      </c>
      <c r="Q24" s="16" t="n">
        <f aca="false">Q21+Q22+Q23</f>
        <v>259.86</v>
      </c>
      <c r="R24" s="16" t="n">
        <f aca="false">R21+R22+R23</f>
        <v>281.85</v>
      </c>
      <c r="S24" s="16" t="n">
        <f aca="false">S21+S22+S23</f>
        <v>313.83</v>
      </c>
      <c r="T24" s="16" t="n">
        <f aca="false">T21+T22+T23</f>
        <v>335.82</v>
      </c>
      <c r="U24" s="16" t="n">
        <f aca="false">U21+U22+U23</f>
        <v>389.79</v>
      </c>
      <c r="V24" s="16" t="n">
        <f aca="false">V21+V22+V23</f>
        <v>443.76</v>
      </c>
      <c r="W24" s="16" t="n">
        <f aca="false">W21+W22+W23</f>
        <v>465.75</v>
      </c>
      <c r="X24" s="16" t="n">
        <f aca="false">X21+X22+X23</f>
        <v>497.73</v>
      </c>
      <c r="Y24" s="16" t="n">
        <f aca="false">Y21+Y22+Y23</f>
        <v>519.72</v>
      </c>
      <c r="Z24" s="16" t="n">
        <f aca="false">Z21+Z22+Z23</f>
        <v>541.71</v>
      </c>
    </row>
    <row r="25" customFormat="false" ht="15" hidden="false" customHeight="false" outlineLevel="0" collapsed="false">
      <c r="B25" s="8" t="s">
        <v>143</v>
      </c>
      <c r="C25" s="15" t="n">
        <f aca="false">C24</f>
        <v>21.99</v>
      </c>
      <c r="D25" s="15" t="n">
        <f aca="false">C25+D24</f>
        <v>75.96</v>
      </c>
      <c r="E25" s="15" t="n">
        <f aca="false">D25+E24</f>
        <v>151.92</v>
      </c>
      <c r="F25" s="15" t="n">
        <f aca="false">E25+F24</f>
        <v>259.86</v>
      </c>
      <c r="G25" s="15" t="n">
        <f aca="false">F25+G24</f>
        <v>389.79</v>
      </c>
      <c r="H25" s="15" t="n">
        <f aca="false">G25+H24</f>
        <v>541.71</v>
      </c>
      <c r="I25" s="15" t="n">
        <f aca="false">H25+I24</f>
        <v>693.63</v>
      </c>
      <c r="J25" s="15" t="n">
        <f aca="false">I25+J24</f>
        <v>845.55</v>
      </c>
      <c r="K25" s="15" t="n">
        <f aca="false">J25+K24</f>
        <v>997.47</v>
      </c>
      <c r="L25" s="15" t="n">
        <f aca="false">K25+L24</f>
        <v>1149.39</v>
      </c>
      <c r="M25" s="15" t="n">
        <f aca="false">L25+M24</f>
        <v>1301.31</v>
      </c>
      <c r="N25" s="15" t="n">
        <f aca="false">M25+N24</f>
        <v>1485.21</v>
      </c>
      <c r="O25" s="15" t="n">
        <f aca="false">N25+O24</f>
        <v>1691.1</v>
      </c>
      <c r="P25" s="15" t="n">
        <f aca="false">O25+P24</f>
        <v>1928.97</v>
      </c>
      <c r="Q25" s="15" t="n">
        <f aca="false">P25+Q24</f>
        <v>2188.83</v>
      </c>
      <c r="R25" s="15" t="n">
        <f aca="false">Q25+R24</f>
        <v>2470.68</v>
      </c>
      <c r="S25" s="15" t="n">
        <f aca="false">R25+S24</f>
        <v>2784.51</v>
      </c>
      <c r="T25" s="15" t="n">
        <f aca="false">S25+T24</f>
        <v>3120.33</v>
      </c>
      <c r="U25" s="15" t="n">
        <f aca="false">T25+U24</f>
        <v>3510.12</v>
      </c>
      <c r="V25" s="15" t="n">
        <f aca="false">U25+V24</f>
        <v>3953.88</v>
      </c>
      <c r="W25" s="15" t="n">
        <f aca="false">V25+W24</f>
        <v>4419.63</v>
      </c>
      <c r="X25" s="15" t="n">
        <f aca="false">W25+X24</f>
        <v>4917.36</v>
      </c>
      <c r="Y25" s="15" t="n">
        <f aca="false">X25+Y24</f>
        <v>5437.08</v>
      </c>
      <c r="Z25" s="15" t="n">
        <f aca="false">Y25+Z24</f>
        <v>5978.79</v>
      </c>
    </row>
    <row r="27" customFormat="false" ht="18" hidden="false" customHeight="true" outlineLevel="0" collapsed="false">
      <c r="A27" s="6" t="s">
        <v>166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B28" s="8" t="s">
        <v>145</v>
      </c>
      <c r="C28" s="15" t="n">
        <f aca="false">C24*Assumpties!$C$33+(C13+C15+C18)*Assumpties!$C$34</f>
        <v>0.88771</v>
      </c>
      <c r="D28" s="15" t="n">
        <f aca="false">D24*Assumpties!$C$33+(D13+D15+D18)*Assumpties!$C$34</f>
        <v>2.31513</v>
      </c>
      <c r="E28" s="15" t="n">
        <f aca="false">E24*Assumpties!$C$33+(E13+E15+E18)*Assumpties!$C$34</f>
        <v>3.20284</v>
      </c>
      <c r="F28" s="15" t="n">
        <f aca="false">F24*Assumpties!$C$33+(F13+F15+F18)*Assumpties!$C$34</f>
        <v>4.63026</v>
      </c>
      <c r="G28" s="15" t="n">
        <f aca="false">G24*Assumpties!$C$33+(G13+G15+G18)*Assumpties!$C$34</f>
        <v>5.51797</v>
      </c>
      <c r="H28" s="15" t="n">
        <f aca="false">H24*Assumpties!$C$33+(H13+H15+H18)*Assumpties!$C$34</f>
        <v>6.40568</v>
      </c>
      <c r="I28" s="15" t="n">
        <f aca="false">I24*Assumpties!$C$33+(I13+I15+I18)*Assumpties!$C$34</f>
        <v>6.40568</v>
      </c>
      <c r="J28" s="15" t="n">
        <f aca="false">J24*Assumpties!$C$33+(J13+J15+J18)*Assumpties!$C$34</f>
        <v>6.40568</v>
      </c>
      <c r="K28" s="15" t="n">
        <f aca="false">K24*Assumpties!$C$33+(K13+K15+K18)*Assumpties!$C$34</f>
        <v>6.40568</v>
      </c>
      <c r="L28" s="15" t="n">
        <f aca="false">L24*Assumpties!$C$33+(L13+L15+L18)*Assumpties!$C$34</f>
        <v>6.40568</v>
      </c>
      <c r="M28" s="15" t="n">
        <f aca="false">M24*Assumpties!$C$33+(M13+M15+M18)*Assumpties!$C$34</f>
        <v>6.40568</v>
      </c>
      <c r="N28" s="15" t="n">
        <f aca="false">N24*Assumpties!$C$33+(N13+N15+N18)*Assumpties!$C$34</f>
        <v>7.8331</v>
      </c>
      <c r="O28" s="15" t="n">
        <f aca="false">O24*Assumpties!$C$33+(O13+O15+O18)*Assumpties!$C$34</f>
        <v>8.72081</v>
      </c>
      <c r="P28" s="15" t="n">
        <f aca="false">P24*Assumpties!$C$33+(P13+P15+P18)*Assumpties!$C$34</f>
        <v>10.14823</v>
      </c>
      <c r="Q28" s="15" t="n">
        <f aca="false">Q24*Assumpties!$C$33+(Q13+Q15+Q18)*Assumpties!$C$34</f>
        <v>11.03594</v>
      </c>
      <c r="R28" s="15" t="n">
        <f aca="false">R24*Assumpties!$C$33+(R13+R15+R18)*Assumpties!$C$34</f>
        <v>11.92365</v>
      </c>
      <c r="S28" s="15" t="n">
        <f aca="false">S24*Assumpties!$C$33+(S13+S15+S18)*Assumpties!$C$34</f>
        <v>13.35107</v>
      </c>
      <c r="T28" s="15" t="n">
        <f aca="false">T24*Assumpties!$C$33+(T13+T15+T18)*Assumpties!$C$34</f>
        <v>14.23878</v>
      </c>
      <c r="U28" s="15" t="n">
        <f aca="false">U24*Assumpties!$C$33+(U13+U15+U18)*Assumpties!$C$34</f>
        <v>16.55391</v>
      </c>
      <c r="V28" s="15" t="n">
        <f aca="false">V24*Assumpties!$C$33+(V13+V15+V18)*Assumpties!$C$34</f>
        <v>18.86904</v>
      </c>
      <c r="W28" s="15" t="n">
        <f aca="false">W24*Assumpties!$C$33+(W13+W15+W18)*Assumpties!$C$34</f>
        <v>19.75675</v>
      </c>
      <c r="X28" s="15" t="n">
        <f aca="false">X24*Assumpties!$C$33+(X13+X15+X18)*Assumpties!$C$34</f>
        <v>21.18417</v>
      </c>
      <c r="Y28" s="15" t="n">
        <f aca="false">Y24*Assumpties!$C$33+(Y13+Y15+Y18)*Assumpties!$C$34</f>
        <v>22.07188</v>
      </c>
      <c r="Z28" s="15" t="n">
        <f aca="false">Z24*Assumpties!$C$33+(Z13+Z15+Z18)*Assumpties!$C$34</f>
        <v>22.95959</v>
      </c>
    </row>
    <row r="29" customFormat="false" ht="15" hidden="false" customHeight="false" outlineLevel="0" collapsed="false">
      <c r="B29" s="8" t="s">
        <v>167</v>
      </c>
      <c r="C29" s="15" t="n">
        <f aca="false">C13*Assumpties!$C$36+C15*Assumpties!$C$37</f>
        <v>0.5</v>
      </c>
      <c r="D29" s="15" t="n">
        <f aca="false">D13*Assumpties!$C$36+D15*Assumpties!$C$37</f>
        <v>1</v>
      </c>
      <c r="E29" s="15" t="n">
        <f aca="false">E13*Assumpties!$C$36+E15*Assumpties!$C$37</f>
        <v>1.5</v>
      </c>
      <c r="F29" s="15" t="n">
        <f aca="false">F13*Assumpties!$C$36+F15*Assumpties!$C$37</f>
        <v>2</v>
      </c>
      <c r="G29" s="15" t="n">
        <f aca="false">G13*Assumpties!$C$36+G15*Assumpties!$C$37</f>
        <v>2.5</v>
      </c>
      <c r="H29" s="15" t="n">
        <f aca="false">H13*Assumpties!$C$36+H15*Assumpties!$C$37</f>
        <v>3</v>
      </c>
      <c r="I29" s="15" t="n">
        <f aca="false">I13*Assumpties!$C$36+I15*Assumpties!$C$37</f>
        <v>3</v>
      </c>
      <c r="J29" s="15" t="n">
        <f aca="false">J13*Assumpties!$C$36+J15*Assumpties!$C$37</f>
        <v>3</v>
      </c>
      <c r="K29" s="15" t="n">
        <f aca="false">K13*Assumpties!$C$36+K15*Assumpties!$C$37</f>
        <v>3</v>
      </c>
      <c r="L29" s="15" t="n">
        <f aca="false">L13*Assumpties!$C$36+L15*Assumpties!$C$37</f>
        <v>3</v>
      </c>
      <c r="M29" s="15" t="n">
        <f aca="false">M13*Assumpties!$C$36+M15*Assumpties!$C$37</f>
        <v>3</v>
      </c>
      <c r="N29" s="15" t="n">
        <f aca="false">N13*Assumpties!$C$36+N15*Assumpties!$C$37</f>
        <v>3.5</v>
      </c>
      <c r="O29" s="15" t="n">
        <f aca="false">O13*Assumpties!$C$36+O15*Assumpties!$C$37</f>
        <v>4</v>
      </c>
      <c r="P29" s="15" t="n">
        <f aca="false">P13*Assumpties!$C$36+P15*Assumpties!$C$37</f>
        <v>4.5</v>
      </c>
      <c r="Q29" s="15" t="n">
        <f aca="false">Q13*Assumpties!$C$36+Q15*Assumpties!$C$37</f>
        <v>5</v>
      </c>
      <c r="R29" s="15" t="n">
        <f aca="false">R13*Assumpties!$C$36+R15*Assumpties!$C$37</f>
        <v>5.5</v>
      </c>
      <c r="S29" s="15" t="n">
        <f aca="false">S13*Assumpties!$C$36+S15*Assumpties!$C$37</f>
        <v>6</v>
      </c>
      <c r="T29" s="15" t="n">
        <f aca="false">T13*Assumpties!$C$36+T15*Assumpties!$C$37</f>
        <v>6.5</v>
      </c>
      <c r="U29" s="15" t="n">
        <f aca="false">U13*Assumpties!$C$36+U15*Assumpties!$C$37</f>
        <v>7.5</v>
      </c>
      <c r="V29" s="15" t="n">
        <f aca="false">V13*Assumpties!$C$36+V15*Assumpties!$C$37</f>
        <v>8.5</v>
      </c>
      <c r="W29" s="15" t="n">
        <f aca="false">W13*Assumpties!$C$36+W15*Assumpties!$C$37</f>
        <v>9</v>
      </c>
      <c r="X29" s="15" t="n">
        <f aca="false">X13*Assumpties!$C$36+X15*Assumpties!$C$37</f>
        <v>9.5</v>
      </c>
      <c r="Y29" s="15" t="n">
        <f aca="false">Y13*Assumpties!$C$36+Y15*Assumpties!$C$37</f>
        <v>10</v>
      </c>
      <c r="Z29" s="15" t="n">
        <f aca="false">Z13*Assumpties!$C$36+Z15*Assumpties!$C$37</f>
        <v>10.5</v>
      </c>
    </row>
    <row r="30" customFormat="false" ht="15" hidden="false" customHeight="false" outlineLevel="0" collapsed="false">
      <c r="B30" s="8" t="s">
        <v>147</v>
      </c>
      <c r="C30" s="15" t="n">
        <f aca="false">Assumpties!$C$35</f>
        <v>25</v>
      </c>
      <c r="D30" s="15" t="n">
        <f aca="false">Assumpties!$C$35</f>
        <v>25</v>
      </c>
      <c r="E30" s="15" t="n">
        <f aca="false">Assumpties!$C$35</f>
        <v>25</v>
      </c>
      <c r="F30" s="15" t="n">
        <f aca="false">Assumpties!$C$35</f>
        <v>25</v>
      </c>
      <c r="G30" s="15" t="n">
        <f aca="false">Assumpties!$C$35</f>
        <v>25</v>
      </c>
      <c r="H30" s="15" t="n">
        <f aca="false">Assumpties!$C$35</f>
        <v>25</v>
      </c>
      <c r="I30" s="15" t="n">
        <f aca="false">Assumpties!$C$35</f>
        <v>25</v>
      </c>
      <c r="J30" s="15" t="n">
        <f aca="false">Assumpties!$C$35</f>
        <v>25</v>
      </c>
      <c r="K30" s="15" t="n">
        <f aca="false">Assumpties!$C$35</f>
        <v>25</v>
      </c>
      <c r="L30" s="15" t="n">
        <f aca="false">Assumpties!$C$35</f>
        <v>25</v>
      </c>
      <c r="M30" s="15" t="n">
        <f aca="false">Assumpties!$C$35</f>
        <v>25</v>
      </c>
      <c r="N30" s="15" t="n">
        <f aca="false">Assumpties!$C$35</f>
        <v>25</v>
      </c>
      <c r="O30" s="15" t="n">
        <f aca="false">Assumpties!$C$35</f>
        <v>25</v>
      </c>
      <c r="P30" s="15" t="n">
        <f aca="false">Assumpties!$C$35</f>
        <v>25</v>
      </c>
      <c r="Q30" s="15" t="n">
        <f aca="false">Assumpties!$C$35</f>
        <v>25</v>
      </c>
      <c r="R30" s="15" t="n">
        <f aca="false">Assumpties!$C$35</f>
        <v>25</v>
      </c>
      <c r="S30" s="15" t="n">
        <f aca="false">Assumpties!$C$35</f>
        <v>25</v>
      </c>
      <c r="T30" s="15" t="n">
        <f aca="false">Assumpties!$C$35</f>
        <v>25</v>
      </c>
      <c r="U30" s="15" t="n">
        <f aca="false">Assumpties!$C$35</f>
        <v>25</v>
      </c>
      <c r="V30" s="15" t="n">
        <f aca="false">Assumpties!$C$35</f>
        <v>25</v>
      </c>
      <c r="W30" s="15" t="n">
        <f aca="false">Assumpties!$C$35</f>
        <v>25</v>
      </c>
      <c r="X30" s="15" t="n">
        <f aca="false">Assumpties!$C$35</f>
        <v>25</v>
      </c>
      <c r="Y30" s="15" t="n">
        <f aca="false">Assumpties!$C$35</f>
        <v>25</v>
      </c>
      <c r="Z30" s="15" t="n">
        <f aca="false">Assumpties!$C$35</f>
        <v>25</v>
      </c>
    </row>
    <row r="31" customFormat="false" ht="15" hidden="false" customHeight="false" outlineLevel="0" collapsed="false">
      <c r="B31" s="8" t="s">
        <v>168</v>
      </c>
      <c r="C31" s="15" t="n">
        <f aca="false">C9*Assumpties!$C$38</f>
        <v>8</v>
      </c>
      <c r="D31" s="15" t="n">
        <f aca="false">D9*Assumpties!$C$38</f>
        <v>8</v>
      </c>
      <c r="E31" s="15" t="n">
        <f aca="false">E9*Assumpties!$C$38</f>
        <v>8</v>
      </c>
      <c r="F31" s="15" t="n">
        <f aca="false">F9*Assumpties!$C$38</f>
        <v>8</v>
      </c>
      <c r="G31" s="15" t="n">
        <f aca="false">G9*Assumpties!$C$38</f>
        <v>8</v>
      </c>
      <c r="H31" s="15" t="n">
        <f aca="false">H9*Assumpties!$C$38</f>
        <v>8</v>
      </c>
      <c r="I31" s="15" t="n">
        <f aca="false">I9*Assumpties!$C$38</f>
        <v>8</v>
      </c>
      <c r="J31" s="15" t="n">
        <f aca="false">J9*Assumpties!$C$38</f>
        <v>8</v>
      </c>
      <c r="K31" s="15" t="n">
        <f aca="false">K9*Assumpties!$C$38</f>
        <v>8</v>
      </c>
      <c r="L31" s="15" t="n">
        <f aca="false">L9*Assumpties!$C$38</f>
        <v>8</v>
      </c>
      <c r="M31" s="15" t="n">
        <f aca="false">M9*Assumpties!$C$38</f>
        <v>8</v>
      </c>
      <c r="N31" s="15" t="n">
        <f aca="false">N9*Assumpties!$C$38</f>
        <v>16</v>
      </c>
      <c r="O31" s="15" t="n">
        <f aca="false">O9*Assumpties!$C$38</f>
        <v>16</v>
      </c>
      <c r="P31" s="15" t="n">
        <f aca="false">P9*Assumpties!$C$38</f>
        <v>16</v>
      </c>
      <c r="Q31" s="15" t="n">
        <f aca="false">Q9*Assumpties!$C$38</f>
        <v>16</v>
      </c>
      <c r="R31" s="15" t="n">
        <f aca="false">R9*Assumpties!$C$38</f>
        <v>16</v>
      </c>
      <c r="S31" s="15" t="n">
        <f aca="false">S9*Assumpties!$C$38</f>
        <v>16</v>
      </c>
      <c r="T31" s="15" t="n">
        <f aca="false">T9*Assumpties!$C$38</f>
        <v>16</v>
      </c>
      <c r="U31" s="15" t="n">
        <f aca="false">U9*Assumpties!$C$38</f>
        <v>24</v>
      </c>
      <c r="V31" s="15" t="n">
        <f aca="false">V9*Assumpties!$C$38</f>
        <v>24</v>
      </c>
      <c r="W31" s="15" t="n">
        <f aca="false">W9*Assumpties!$C$38</f>
        <v>24</v>
      </c>
      <c r="X31" s="15" t="n">
        <f aca="false">X9*Assumpties!$C$38</f>
        <v>24</v>
      </c>
      <c r="Y31" s="15" t="n">
        <f aca="false">Y9*Assumpties!$C$38</f>
        <v>32</v>
      </c>
      <c r="Z31" s="15" t="n">
        <f aca="false">Z9*Assumpties!$C$38</f>
        <v>32</v>
      </c>
    </row>
    <row r="32" customFormat="false" ht="15" hidden="false" customHeight="false" outlineLevel="0" collapsed="false">
      <c r="B32" s="4" t="s">
        <v>149</v>
      </c>
      <c r="C32" s="16" t="n">
        <f aca="false">C24-C28-C29-C30-C31</f>
        <v>-12.39771</v>
      </c>
      <c r="D32" s="16" t="n">
        <f aca="false">D24-D28-D29-D30-D31</f>
        <v>17.65487</v>
      </c>
      <c r="E32" s="16" t="n">
        <f aca="false">E24-E28-E29-E30-E31</f>
        <v>38.25716</v>
      </c>
      <c r="F32" s="16" t="n">
        <f aca="false">F24-F28-F29-F30-F31</f>
        <v>68.30974</v>
      </c>
      <c r="G32" s="16" t="n">
        <f aca="false">G24-G28-G29-G30-G31</f>
        <v>88.91203</v>
      </c>
      <c r="H32" s="16" t="n">
        <f aca="false">H24-H28-H29-H30-H31</f>
        <v>109.51432</v>
      </c>
      <c r="I32" s="16" t="n">
        <f aca="false">I24-I28-I29-I30-I31</f>
        <v>109.51432</v>
      </c>
      <c r="J32" s="16" t="n">
        <f aca="false">J24-J28-J29-J30-J31</f>
        <v>109.51432</v>
      </c>
      <c r="K32" s="16" t="n">
        <f aca="false">K24-K28-K29-K30-K31</f>
        <v>109.51432</v>
      </c>
      <c r="L32" s="16" t="n">
        <f aca="false">L24-L28-L29-L30-L31</f>
        <v>109.51432</v>
      </c>
      <c r="M32" s="16" t="n">
        <f aca="false">M24-M28-M29-M30-M31</f>
        <v>109.51432</v>
      </c>
      <c r="N32" s="16" t="n">
        <f aca="false">N24-N28-N29-N30-N31</f>
        <v>131.5669</v>
      </c>
      <c r="O32" s="16" t="n">
        <f aca="false">O24-O28-O29-O30-O31</f>
        <v>152.16919</v>
      </c>
      <c r="P32" s="16" t="n">
        <f aca="false">P24-P28-P29-P30-P31</f>
        <v>182.22177</v>
      </c>
      <c r="Q32" s="16" t="n">
        <f aca="false">Q24-Q28-Q29-Q30-Q31</f>
        <v>202.82406</v>
      </c>
      <c r="R32" s="16" t="n">
        <f aca="false">R24-R28-R29-R30-R31</f>
        <v>223.42635</v>
      </c>
      <c r="S32" s="16" t="n">
        <f aca="false">S24-S28-S29-S30-S31</f>
        <v>253.47893</v>
      </c>
      <c r="T32" s="16" t="n">
        <f aca="false">T24-T28-T29-T30-T31</f>
        <v>274.08122</v>
      </c>
      <c r="U32" s="16" t="n">
        <f aca="false">U24-U28-U29-U30-U31</f>
        <v>316.73609</v>
      </c>
      <c r="V32" s="16" t="n">
        <f aca="false">V24-V28-V29-V30-V31</f>
        <v>367.39096</v>
      </c>
      <c r="W32" s="16" t="n">
        <f aca="false">W24-W28-W29-W30-W31</f>
        <v>387.99325</v>
      </c>
      <c r="X32" s="16" t="n">
        <f aca="false">X24-X28-X29-X30-X31</f>
        <v>418.04583</v>
      </c>
      <c r="Y32" s="16" t="n">
        <f aca="false">Y24-Y28-Y29-Y30-Y31</f>
        <v>430.64812</v>
      </c>
      <c r="Z32" s="16" t="n">
        <f aca="false">Z24-Z28-Z29-Z30-Z31</f>
        <v>451.25041</v>
      </c>
    </row>
    <row r="33" customFormat="false" ht="15" hidden="false" customHeight="false" outlineLevel="0" collapsed="false">
      <c r="B33" s="8" t="s">
        <v>150</v>
      </c>
      <c r="C33" s="15" t="n">
        <f aca="false">C32</f>
        <v>-12.39771</v>
      </c>
      <c r="D33" s="15" t="n">
        <f aca="false">C33+D32</f>
        <v>5.25716</v>
      </c>
      <c r="E33" s="15" t="n">
        <f aca="false">D33+E32</f>
        <v>43.51432</v>
      </c>
      <c r="F33" s="15" t="n">
        <f aca="false">E33+F32</f>
        <v>111.82406</v>
      </c>
      <c r="G33" s="15" t="n">
        <f aca="false">F33+G32</f>
        <v>200.73609</v>
      </c>
      <c r="H33" s="15" t="n">
        <f aca="false">G33+H32</f>
        <v>310.25041</v>
      </c>
      <c r="I33" s="15" t="n">
        <f aca="false">H33+I32</f>
        <v>419.76473</v>
      </c>
      <c r="J33" s="15" t="n">
        <f aca="false">I33+J32</f>
        <v>529.27905</v>
      </c>
      <c r="K33" s="15" t="n">
        <f aca="false">J33+K32</f>
        <v>638.79337</v>
      </c>
      <c r="L33" s="15" t="n">
        <f aca="false">K33+L32</f>
        <v>748.30769</v>
      </c>
      <c r="M33" s="15" t="n">
        <f aca="false">L33+M32</f>
        <v>857.82201</v>
      </c>
      <c r="N33" s="15" t="n">
        <f aca="false">M33+N32</f>
        <v>989.38891</v>
      </c>
      <c r="O33" s="15" t="n">
        <f aca="false">N33+O32</f>
        <v>1141.5581</v>
      </c>
      <c r="P33" s="15" t="n">
        <f aca="false">O33+P32</f>
        <v>1323.77987</v>
      </c>
      <c r="Q33" s="15" t="n">
        <f aca="false">P33+Q32</f>
        <v>1526.60393</v>
      </c>
      <c r="R33" s="15" t="n">
        <f aca="false">Q33+R32</f>
        <v>1750.03028</v>
      </c>
      <c r="S33" s="15" t="n">
        <f aca="false">R33+S32</f>
        <v>2003.50921</v>
      </c>
      <c r="T33" s="15" t="n">
        <f aca="false">S33+T32</f>
        <v>2277.59043</v>
      </c>
      <c r="U33" s="15" t="n">
        <f aca="false">T33+U32</f>
        <v>2594.32652</v>
      </c>
      <c r="V33" s="15" t="n">
        <f aca="false">U33+V32</f>
        <v>2961.71748</v>
      </c>
      <c r="W33" s="15" t="n">
        <f aca="false">V33+W32</f>
        <v>3349.71073</v>
      </c>
      <c r="X33" s="15" t="n">
        <f aca="false">W33+X32</f>
        <v>3767.75656</v>
      </c>
      <c r="Y33" s="15" t="n">
        <f aca="false">X33+Y32</f>
        <v>4198.40468</v>
      </c>
      <c r="Z33" s="15" t="n">
        <f aca="false">Y33+Z32</f>
        <v>4649.65509</v>
      </c>
    </row>
  </sheetData>
  <mergeCells count="6">
    <mergeCell ref="A1:Z1"/>
    <mergeCell ref="A5:Z5"/>
    <mergeCell ref="A11:Z11"/>
    <mergeCell ref="A17:Z17"/>
    <mergeCell ref="A20:Z20"/>
    <mergeCell ref="A27:Z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26" min="3" style="0" width="12"/>
    <col collapsed="false" customWidth="true" hidden="false" outlineLevel="0" max="27" min="27" style="0" width="4"/>
  </cols>
  <sheetData>
    <row r="1" customFormat="false" ht="24" hidden="false" customHeight="tru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2.8" hidden="false" customHeight="false" outlineLevel="0" collapsed="false">
      <c r="B2" s="5" t="s">
        <v>103</v>
      </c>
    </row>
    <row r="4" customFormat="false" ht="21.75" hidden="false" customHeight="true" outlineLevel="0" collapsed="false">
      <c r="A4" s="7"/>
      <c r="B4" s="7" t="s">
        <v>104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7" t="s">
        <v>112</v>
      </c>
      <c r="K4" s="7" t="s">
        <v>113</v>
      </c>
      <c r="L4" s="7" t="s">
        <v>114</v>
      </c>
      <c r="M4" s="7" t="s">
        <v>115</v>
      </c>
      <c r="N4" s="7" t="s">
        <v>116</v>
      </c>
      <c r="O4" s="7" t="s">
        <v>117</v>
      </c>
      <c r="P4" s="7" t="s">
        <v>118</v>
      </c>
      <c r="Q4" s="7" t="s">
        <v>119</v>
      </c>
      <c r="R4" s="7" t="s">
        <v>120</v>
      </c>
      <c r="S4" s="7" t="s">
        <v>121</v>
      </c>
      <c r="T4" s="7" t="s">
        <v>122</v>
      </c>
      <c r="U4" s="7" t="s">
        <v>123</v>
      </c>
      <c r="V4" s="7" t="s">
        <v>124</v>
      </c>
      <c r="W4" s="7" t="s">
        <v>125</v>
      </c>
      <c r="X4" s="7" t="s">
        <v>126</v>
      </c>
      <c r="Y4" s="7" t="s">
        <v>127</v>
      </c>
      <c r="Z4" s="7" t="s">
        <v>128</v>
      </c>
      <c r="AA4" s="7"/>
    </row>
    <row r="5" customFormat="false" ht="18" hidden="false" customHeight="true" outlineLevel="0" collapsed="false">
      <c r="A5" s="6" t="s">
        <v>129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B6" s="4" t="s">
        <v>130</v>
      </c>
      <c r="C6" s="14" t="n">
        <f aca="false">Assumpties!$C$7</f>
        <v>30</v>
      </c>
      <c r="D6" s="14" t="n">
        <f aca="false">ROUND(C6*(1+Assumpties!$C$8),0)</f>
        <v>32</v>
      </c>
      <c r="E6" s="14" t="n">
        <f aca="false">ROUND(D6*(1+Assumpties!$C$8),0)</f>
        <v>35</v>
      </c>
      <c r="F6" s="14" t="n">
        <f aca="false">ROUND(E6*(1+Assumpties!$C$8),0)</f>
        <v>38</v>
      </c>
      <c r="G6" s="14" t="n">
        <f aca="false">ROUND(F6*(1+Assumpties!$C$8),0)</f>
        <v>41</v>
      </c>
      <c r="H6" s="14" t="n">
        <f aca="false">ROUND(G6*(1+Assumpties!$C$8),0)</f>
        <v>44</v>
      </c>
      <c r="I6" s="14" t="n">
        <f aca="false">ROUND(H6*(1+Assumpties!$C$8),0)</f>
        <v>48</v>
      </c>
      <c r="J6" s="14" t="n">
        <f aca="false">ROUND(I6*(1+Assumpties!$C$8),0)</f>
        <v>52</v>
      </c>
      <c r="K6" s="14" t="n">
        <f aca="false">ROUND(J6*(1+Assumpties!$C$8),0)</f>
        <v>56</v>
      </c>
      <c r="L6" s="14" t="n">
        <f aca="false">ROUND(K6*(1+Assumpties!$C$8),0)</f>
        <v>60</v>
      </c>
      <c r="M6" s="14" t="n">
        <f aca="false">ROUND(L6*(1+Assumpties!$C$8),0)</f>
        <v>65</v>
      </c>
      <c r="N6" s="14" t="n">
        <f aca="false">ROUND(M6*(1+Assumpties!$C$8),0)</f>
        <v>70</v>
      </c>
      <c r="O6" s="14" t="n">
        <f aca="false">ROUND(N6*(1+Assumpties!$C$8),0)</f>
        <v>76</v>
      </c>
      <c r="P6" s="14" t="n">
        <f aca="false">ROUND(O6*(1+Assumpties!$C$8),0)</f>
        <v>82</v>
      </c>
      <c r="Q6" s="14" t="n">
        <f aca="false">ROUND(P6*(1+Assumpties!$C$8),0)</f>
        <v>89</v>
      </c>
      <c r="R6" s="14" t="n">
        <f aca="false">ROUND(Q6*(1+Assumpties!$C$8),0)</f>
        <v>96</v>
      </c>
      <c r="S6" s="14" t="n">
        <f aca="false">ROUND(R6*(1+Assumpties!$C$8),0)</f>
        <v>104</v>
      </c>
      <c r="T6" s="14" t="n">
        <f aca="false">ROUND(S6*(1+Assumpties!$C$8),0)</f>
        <v>112</v>
      </c>
      <c r="U6" s="14" t="n">
        <f aca="false">ROUND(T6*(1+Assumpties!$C$8),0)</f>
        <v>121</v>
      </c>
      <c r="V6" s="14" t="n">
        <f aca="false">ROUND(U6*(1+Assumpties!$C$8),0)</f>
        <v>131</v>
      </c>
      <c r="W6" s="14" t="n">
        <f aca="false">ROUND(V6*(1+Assumpties!$C$8),0)</f>
        <v>141</v>
      </c>
      <c r="X6" s="14" t="n">
        <f aca="false">ROUND(W6*(1+Assumpties!$C$8),0)</f>
        <v>152</v>
      </c>
      <c r="Y6" s="14" t="n">
        <f aca="false">ROUND(X6*(1+Assumpties!$C$8),0)</f>
        <v>164</v>
      </c>
      <c r="Z6" s="14" t="n">
        <f aca="false">ROUND(Y6*(1+Assumpties!$C$8),0)</f>
        <v>177</v>
      </c>
    </row>
    <row r="7" customFormat="false" ht="15" hidden="false" customHeight="false" outlineLevel="0" collapsed="false">
      <c r="B7" s="8" t="s">
        <v>131</v>
      </c>
      <c r="C7" s="14" t="n">
        <f aca="false">C6</f>
        <v>30</v>
      </c>
      <c r="D7" s="14" t="n">
        <f aca="false">C7+D6</f>
        <v>62</v>
      </c>
      <c r="E7" s="14" t="n">
        <f aca="false">D7+E6</f>
        <v>97</v>
      </c>
      <c r="F7" s="14" t="n">
        <f aca="false">E7+F6</f>
        <v>135</v>
      </c>
      <c r="G7" s="14" t="n">
        <f aca="false">F7+G6</f>
        <v>176</v>
      </c>
      <c r="H7" s="14" t="n">
        <f aca="false">G7+H6</f>
        <v>220</v>
      </c>
      <c r="I7" s="14" t="n">
        <f aca="false">H7+I6</f>
        <v>268</v>
      </c>
      <c r="J7" s="14" t="n">
        <f aca="false">I7+J6</f>
        <v>320</v>
      </c>
      <c r="K7" s="14" t="n">
        <f aca="false">J7+K6</f>
        <v>376</v>
      </c>
      <c r="L7" s="14" t="n">
        <f aca="false">K7+L6</f>
        <v>436</v>
      </c>
      <c r="M7" s="14" t="n">
        <f aca="false">L7+M6</f>
        <v>501</v>
      </c>
      <c r="N7" s="14" t="n">
        <f aca="false">M7+N6</f>
        <v>571</v>
      </c>
      <c r="O7" s="14" t="n">
        <f aca="false">N7+O6</f>
        <v>647</v>
      </c>
      <c r="P7" s="14" t="n">
        <f aca="false">O7+P6</f>
        <v>729</v>
      </c>
      <c r="Q7" s="14" t="n">
        <f aca="false">P7+Q6</f>
        <v>818</v>
      </c>
      <c r="R7" s="14" t="n">
        <f aca="false">Q7+R6</f>
        <v>914</v>
      </c>
      <c r="S7" s="14" t="n">
        <f aca="false">R7+S6</f>
        <v>1018</v>
      </c>
      <c r="T7" s="14" t="n">
        <f aca="false">S7+T6</f>
        <v>1130</v>
      </c>
      <c r="U7" s="14" t="n">
        <f aca="false">T7+U6</f>
        <v>1251</v>
      </c>
      <c r="V7" s="14" t="n">
        <f aca="false">U7+V6</f>
        <v>1382</v>
      </c>
      <c r="W7" s="14" t="n">
        <f aca="false">V7+W6</f>
        <v>1523</v>
      </c>
      <c r="X7" s="14" t="n">
        <f aca="false">W7+X6</f>
        <v>1675</v>
      </c>
      <c r="Y7" s="14" t="n">
        <f aca="false">X7+Y6</f>
        <v>1839</v>
      </c>
      <c r="Z7" s="14" t="n">
        <f aca="false">Y7+Z6</f>
        <v>2016</v>
      </c>
    </row>
    <row r="8" customFormat="false" ht="15" hidden="false" customHeight="false" outlineLevel="0" collapsed="false">
      <c r="B8" s="8" t="s">
        <v>132</v>
      </c>
      <c r="C8" s="14" t="n">
        <f aca="false">ROUND(C7*Assumpties!$C$9,0)</f>
        <v>17</v>
      </c>
      <c r="D8" s="14" t="n">
        <f aca="false">ROUND(D7*Assumpties!$C$9,0)</f>
        <v>34</v>
      </c>
      <c r="E8" s="14" t="n">
        <f aca="false">ROUND(E7*Assumpties!$C$9,0)</f>
        <v>53</v>
      </c>
      <c r="F8" s="14" t="n">
        <f aca="false">ROUND(F7*Assumpties!$C$9,0)</f>
        <v>74</v>
      </c>
      <c r="G8" s="14" t="n">
        <f aca="false">ROUND(G7*Assumpties!$C$9,0)</f>
        <v>97</v>
      </c>
      <c r="H8" s="14" t="n">
        <f aca="false">ROUND(H7*Assumpties!$C$9,0)</f>
        <v>121</v>
      </c>
      <c r="I8" s="14" t="n">
        <f aca="false">ROUND(I7*Assumpties!$C$9,0)</f>
        <v>147</v>
      </c>
      <c r="J8" s="14" t="n">
        <f aca="false">ROUND(J7*Assumpties!$C$9,0)</f>
        <v>176</v>
      </c>
      <c r="K8" s="14" t="n">
        <f aca="false">ROUND(K7*Assumpties!$C$9,0)</f>
        <v>207</v>
      </c>
      <c r="L8" s="14" t="n">
        <f aca="false">ROUND(L7*Assumpties!$C$9,0)</f>
        <v>240</v>
      </c>
      <c r="M8" s="14" t="n">
        <f aca="false">ROUND(M7*Assumpties!$C$9,0)</f>
        <v>276</v>
      </c>
      <c r="N8" s="14" t="n">
        <f aca="false">ROUND(N7*Assumpties!$C$9,0)</f>
        <v>314</v>
      </c>
      <c r="O8" s="14" t="n">
        <f aca="false">ROUND(O7*Assumpties!$C$9,0)</f>
        <v>356</v>
      </c>
      <c r="P8" s="14" t="n">
        <f aca="false">ROUND(P7*Assumpties!$C$9,0)</f>
        <v>401</v>
      </c>
      <c r="Q8" s="14" t="n">
        <f aca="false">ROUND(Q7*Assumpties!$C$9,0)</f>
        <v>450</v>
      </c>
      <c r="R8" s="14" t="n">
        <f aca="false">ROUND(R7*Assumpties!$C$9,0)</f>
        <v>503</v>
      </c>
      <c r="S8" s="14" t="n">
        <f aca="false">ROUND(S7*Assumpties!$C$9,0)</f>
        <v>560</v>
      </c>
      <c r="T8" s="14" t="n">
        <f aca="false">ROUND(T7*Assumpties!$C$9,0)</f>
        <v>622</v>
      </c>
      <c r="U8" s="14" t="n">
        <f aca="false">ROUND(U7*Assumpties!$C$9,0)</f>
        <v>688</v>
      </c>
      <c r="V8" s="14" t="n">
        <f aca="false">ROUND(V7*Assumpties!$C$9,0)</f>
        <v>760</v>
      </c>
      <c r="W8" s="14" t="n">
        <f aca="false">ROUND(W7*Assumpties!$C$9,0)</f>
        <v>838</v>
      </c>
      <c r="X8" s="14" t="n">
        <f aca="false">ROUND(X7*Assumpties!$C$9,0)</f>
        <v>921</v>
      </c>
      <c r="Y8" s="14" t="n">
        <f aca="false">ROUND(Y7*Assumpties!$C$9,0)</f>
        <v>1011</v>
      </c>
      <c r="Z8" s="14" t="n">
        <f aca="false">ROUND(Z7*Assumpties!$C$9,0)</f>
        <v>1109</v>
      </c>
    </row>
    <row r="9" customFormat="false" ht="15" hidden="false" customHeight="false" outlineLevel="0" collapsed="false">
      <c r="B9" s="4" t="s">
        <v>133</v>
      </c>
      <c r="C9" s="14" t="n">
        <f aca="false">ROUND(C6*Assumpties!$C$9*Assumpties!$C$10,0)</f>
        <v>1</v>
      </c>
      <c r="D9" s="14" t="n">
        <f aca="false">ROUND(D6*Assumpties!$C$9*Assumpties!$C$10,0)</f>
        <v>1</v>
      </c>
      <c r="E9" s="14" t="n">
        <f aca="false">ROUND(E6*Assumpties!$C$9*Assumpties!$C$10,0)</f>
        <v>1</v>
      </c>
      <c r="F9" s="14" t="n">
        <f aca="false">ROUND(F6*Assumpties!$C$9*Assumpties!$C$10,0)</f>
        <v>1</v>
      </c>
      <c r="G9" s="14" t="n">
        <f aca="false">ROUND(G6*Assumpties!$C$9*Assumpties!$C$10,0)</f>
        <v>1</v>
      </c>
      <c r="H9" s="14" t="n">
        <f aca="false">ROUND(H6*Assumpties!$C$9*Assumpties!$C$10,0)</f>
        <v>1</v>
      </c>
      <c r="I9" s="14" t="n">
        <f aca="false">ROUND(I6*Assumpties!$C$9*Assumpties!$C$10,0)</f>
        <v>1</v>
      </c>
      <c r="J9" s="14" t="n">
        <f aca="false">ROUND(J6*Assumpties!$C$9*Assumpties!$C$10,0)</f>
        <v>1</v>
      </c>
      <c r="K9" s="14" t="n">
        <f aca="false">ROUND(K6*Assumpties!$C$9*Assumpties!$C$10,0)</f>
        <v>1</v>
      </c>
      <c r="L9" s="14" t="n">
        <f aca="false">ROUND(L6*Assumpties!$C$9*Assumpties!$C$10,0)</f>
        <v>1</v>
      </c>
      <c r="M9" s="14" t="n">
        <f aca="false">ROUND(M6*Assumpties!$C$9*Assumpties!$C$10,0)</f>
        <v>1</v>
      </c>
      <c r="N9" s="14" t="n">
        <f aca="false">ROUND(N6*Assumpties!$C$9*Assumpties!$C$10,0)</f>
        <v>2</v>
      </c>
      <c r="O9" s="14" t="n">
        <f aca="false">ROUND(O6*Assumpties!$C$9*Assumpties!$C$10,0)</f>
        <v>2</v>
      </c>
      <c r="P9" s="14" t="n">
        <f aca="false">ROUND(P6*Assumpties!$C$9*Assumpties!$C$10,0)</f>
        <v>2</v>
      </c>
      <c r="Q9" s="14" t="n">
        <f aca="false">ROUND(Q6*Assumpties!$C$9*Assumpties!$C$10,0)</f>
        <v>2</v>
      </c>
      <c r="R9" s="14" t="n">
        <f aca="false">ROUND(R6*Assumpties!$C$9*Assumpties!$C$10,0)</f>
        <v>2</v>
      </c>
      <c r="S9" s="14" t="n">
        <f aca="false">ROUND(S6*Assumpties!$C$9*Assumpties!$C$10,0)</f>
        <v>2</v>
      </c>
      <c r="T9" s="14" t="n">
        <f aca="false">ROUND(T6*Assumpties!$C$9*Assumpties!$C$10,0)</f>
        <v>2</v>
      </c>
      <c r="U9" s="14" t="n">
        <f aca="false">ROUND(U6*Assumpties!$C$9*Assumpties!$C$10,0)</f>
        <v>3</v>
      </c>
      <c r="V9" s="14" t="n">
        <f aca="false">ROUND(V6*Assumpties!$C$9*Assumpties!$C$10,0)</f>
        <v>3</v>
      </c>
      <c r="W9" s="14" t="n">
        <f aca="false">ROUND(W6*Assumpties!$C$9*Assumpties!$C$10,0)</f>
        <v>3</v>
      </c>
      <c r="X9" s="14" t="n">
        <f aca="false">ROUND(X6*Assumpties!$C$9*Assumpties!$C$10,0)</f>
        <v>3</v>
      </c>
      <c r="Y9" s="14" t="n">
        <f aca="false">ROUND(Y6*Assumpties!$C$9*Assumpties!$C$10,0)</f>
        <v>4</v>
      </c>
      <c r="Z9" s="14" t="n">
        <f aca="false">ROUND(Z6*Assumpties!$C$9*Assumpties!$C$10,0)</f>
        <v>4</v>
      </c>
    </row>
    <row r="11" customFormat="false" ht="18" hidden="false" customHeight="true" outlineLevel="0" collapsed="false">
      <c r="A11" s="6" t="s">
        <v>170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B12" s="8" t="s">
        <v>171</v>
      </c>
      <c r="C12" s="14" t="n">
        <f aca="false">C9</f>
        <v>1</v>
      </c>
      <c r="D12" s="14" t="n">
        <f aca="false">ROUND(C12*0.5+D9,0)</f>
        <v>2</v>
      </c>
      <c r="E12" s="14" t="n">
        <f aca="false">ROUND(D12*0.5+E9,0)</f>
        <v>2</v>
      </c>
      <c r="F12" s="14" t="n">
        <f aca="false">ROUND(E12*0.5+F9,0)</f>
        <v>2</v>
      </c>
      <c r="G12" s="14" t="n">
        <f aca="false">ROUND(F12*0.5+G9,0)</f>
        <v>2</v>
      </c>
      <c r="H12" s="14" t="n">
        <f aca="false">ROUND(G12*0.5+H9,0)</f>
        <v>2</v>
      </c>
      <c r="I12" s="14" t="n">
        <f aca="false">ROUND(H12*0.5+I9,0)</f>
        <v>2</v>
      </c>
      <c r="J12" s="14" t="n">
        <f aca="false">ROUND(I12*0.5+J9,0)</f>
        <v>2</v>
      </c>
      <c r="K12" s="14" t="n">
        <f aca="false">ROUND(J12*0.5+K9,0)</f>
        <v>2</v>
      </c>
      <c r="L12" s="14" t="n">
        <f aca="false">ROUND(K12*0.5+L9,0)</f>
        <v>2</v>
      </c>
      <c r="M12" s="14" t="n">
        <f aca="false">ROUND(L12*0.5+M9,0)</f>
        <v>2</v>
      </c>
      <c r="N12" s="14" t="n">
        <f aca="false">ROUND(M12*0.5+N9,0)</f>
        <v>3</v>
      </c>
      <c r="O12" s="14" t="n">
        <f aca="false">ROUND(N12*0.5+O9,0)</f>
        <v>4</v>
      </c>
      <c r="P12" s="14" t="n">
        <f aca="false">ROUND(O12*0.5+P9,0)</f>
        <v>4</v>
      </c>
      <c r="Q12" s="14" t="n">
        <f aca="false">ROUND(P12*0.5+Q9,0)</f>
        <v>4</v>
      </c>
      <c r="R12" s="14" t="n">
        <f aca="false">ROUND(Q12*0.5+R9,0)</f>
        <v>4</v>
      </c>
      <c r="S12" s="14" t="n">
        <f aca="false">ROUND(R12*0.5+S9,0)</f>
        <v>4</v>
      </c>
      <c r="T12" s="14" t="n">
        <f aca="false">ROUND(S12*0.5+T9,0)</f>
        <v>4</v>
      </c>
      <c r="U12" s="14" t="n">
        <f aca="false">ROUND(T12*0.5+U9,0)</f>
        <v>5</v>
      </c>
      <c r="V12" s="14" t="n">
        <f aca="false">ROUND(U12*0.5+V9,0)</f>
        <v>6</v>
      </c>
      <c r="W12" s="14" t="n">
        <f aca="false">ROUND(V12*0.5+W9,0)</f>
        <v>6</v>
      </c>
      <c r="X12" s="14" t="n">
        <f aca="false">ROUND(W12*0.5+X9,0)</f>
        <v>6</v>
      </c>
      <c r="Y12" s="14" t="n">
        <f aca="false">ROUND(X12*0.5+Y9,0)</f>
        <v>7</v>
      </c>
      <c r="Z12" s="14" t="n">
        <f aca="false">ROUND(Y12*0.5+Z9,0)</f>
        <v>8</v>
      </c>
    </row>
    <row r="13" customFormat="false" ht="23.85" hidden="false" customHeight="false" outlineLevel="0" collapsed="false">
      <c r="B13" s="8" t="s">
        <v>172</v>
      </c>
      <c r="C13" s="20" t="n">
        <v>1.4</v>
      </c>
      <c r="D13" s="20" t="n">
        <v>1.4</v>
      </c>
      <c r="E13" s="20" t="n">
        <v>1.4</v>
      </c>
      <c r="F13" s="20" t="n">
        <v>1.4</v>
      </c>
      <c r="G13" s="20" t="n">
        <v>1.4</v>
      </c>
      <c r="H13" s="20" t="n">
        <v>1.4</v>
      </c>
      <c r="I13" s="20" t="n">
        <v>1.4</v>
      </c>
      <c r="J13" s="20" t="n">
        <v>1.4</v>
      </c>
      <c r="K13" s="20" t="n">
        <v>1.4</v>
      </c>
      <c r="L13" s="20" t="n">
        <v>1.4</v>
      </c>
      <c r="M13" s="20" t="n">
        <v>1.4</v>
      </c>
      <c r="N13" s="20" t="n">
        <v>1.4</v>
      </c>
      <c r="O13" s="20" t="n">
        <v>1.4</v>
      </c>
      <c r="P13" s="20" t="n">
        <v>1.4</v>
      </c>
      <c r="Q13" s="20" t="n">
        <v>1.4</v>
      </c>
      <c r="R13" s="20" t="n">
        <v>1.4</v>
      </c>
      <c r="S13" s="20" t="n">
        <v>1.4</v>
      </c>
      <c r="T13" s="20" t="n">
        <v>1.4</v>
      </c>
      <c r="U13" s="20" t="n">
        <v>1.4</v>
      </c>
      <c r="V13" s="20" t="n">
        <v>1.4</v>
      </c>
      <c r="W13" s="20" t="n">
        <v>1.4</v>
      </c>
      <c r="X13" s="20" t="n">
        <v>1.4</v>
      </c>
      <c r="Y13" s="20" t="n">
        <v>1.4</v>
      </c>
      <c r="Z13" s="20" t="n">
        <v>1.4</v>
      </c>
    </row>
    <row r="14" customFormat="false" ht="15" hidden="false" customHeight="false" outlineLevel="0" collapsed="false">
      <c r="B14" s="8" t="s">
        <v>173</v>
      </c>
      <c r="C14" s="14" t="n">
        <f aca="false">ROUND(C12*C13,0)</f>
        <v>1</v>
      </c>
      <c r="D14" s="14" t="n">
        <f aca="false">ROUND(D12*D13,0)</f>
        <v>3</v>
      </c>
      <c r="E14" s="14" t="n">
        <f aca="false">ROUND(E12*E13,0)</f>
        <v>3</v>
      </c>
      <c r="F14" s="14" t="n">
        <f aca="false">ROUND(F12*F13,0)</f>
        <v>3</v>
      </c>
      <c r="G14" s="14" t="n">
        <f aca="false">ROUND(G12*G13,0)</f>
        <v>3</v>
      </c>
      <c r="H14" s="14" t="n">
        <f aca="false">ROUND(H12*H13,0)</f>
        <v>3</v>
      </c>
      <c r="I14" s="14" t="n">
        <f aca="false">ROUND(I12*I13,0)</f>
        <v>3</v>
      </c>
      <c r="J14" s="14" t="n">
        <f aca="false">ROUND(J12*J13,0)</f>
        <v>3</v>
      </c>
      <c r="K14" s="14" t="n">
        <f aca="false">ROUND(K12*K13,0)</f>
        <v>3</v>
      </c>
      <c r="L14" s="14" t="n">
        <f aca="false">ROUND(L12*L13,0)</f>
        <v>3</v>
      </c>
      <c r="M14" s="14" t="n">
        <f aca="false">ROUND(M12*M13,0)</f>
        <v>3</v>
      </c>
      <c r="N14" s="14" t="n">
        <f aca="false">ROUND(N12*N13,0)</f>
        <v>4</v>
      </c>
      <c r="O14" s="14" t="n">
        <f aca="false">ROUND(O12*O13,0)</f>
        <v>6</v>
      </c>
      <c r="P14" s="14" t="n">
        <f aca="false">ROUND(P12*P13,0)</f>
        <v>6</v>
      </c>
      <c r="Q14" s="14" t="n">
        <f aca="false">ROUND(Q12*Q13,0)</f>
        <v>6</v>
      </c>
      <c r="R14" s="14" t="n">
        <f aca="false">ROUND(R12*R13,0)</f>
        <v>6</v>
      </c>
      <c r="S14" s="14" t="n">
        <f aca="false">ROUND(S12*S13,0)</f>
        <v>6</v>
      </c>
      <c r="T14" s="14" t="n">
        <f aca="false">ROUND(T12*T13,0)</f>
        <v>6</v>
      </c>
      <c r="U14" s="14" t="n">
        <f aca="false">ROUND(U12*U13,0)</f>
        <v>7</v>
      </c>
      <c r="V14" s="14" t="n">
        <f aca="false">ROUND(V12*V13,0)</f>
        <v>8</v>
      </c>
      <c r="W14" s="14" t="n">
        <f aca="false">ROUND(W12*W13,0)</f>
        <v>8</v>
      </c>
      <c r="X14" s="14" t="n">
        <f aca="false">ROUND(X12*X13,0)</f>
        <v>8</v>
      </c>
      <c r="Y14" s="14" t="n">
        <f aca="false">ROUND(Y12*Y13,0)</f>
        <v>10</v>
      </c>
      <c r="Z14" s="14" t="n">
        <f aca="false">ROUND(Z12*Z13,0)</f>
        <v>11</v>
      </c>
    </row>
    <row r="16" customFormat="false" ht="18" hidden="false" customHeight="true" outlineLevel="0" collapsed="false">
      <c r="A16" s="6" t="s">
        <v>174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B17" s="4" t="s">
        <v>175</v>
      </c>
      <c r="C17" s="16" t="n">
        <f aca="false">C14*Assumpties!$C$27</f>
        <v>9.99</v>
      </c>
      <c r="D17" s="16" t="n">
        <f aca="false">D14*Assumpties!$C$27</f>
        <v>29.97</v>
      </c>
      <c r="E17" s="16" t="n">
        <f aca="false">E14*Assumpties!$C$27</f>
        <v>29.97</v>
      </c>
      <c r="F17" s="16" t="n">
        <f aca="false">F14*Assumpties!$C$27</f>
        <v>29.97</v>
      </c>
      <c r="G17" s="16" t="n">
        <f aca="false">G14*Assumpties!$C$27</f>
        <v>29.97</v>
      </c>
      <c r="H17" s="16" t="n">
        <f aca="false">H14*Assumpties!$C$27</f>
        <v>29.97</v>
      </c>
      <c r="I17" s="16" t="n">
        <f aca="false">I14*Assumpties!$C$27</f>
        <v>29.97</v>
      </c>
      <c r="J17" s="16" t="n">
        <f aca="false">J14*Assumpties!$C$27</f>
        <v>29.97</v>
      </c>
      <c r="K17" s="16" t="n">
        <f aca="false">K14*Assumpties!$C$27</f>
        <v>29.97</v>
      </c>
      <c r="L17" s="16" t="n">
        <f aca="false">L14*Assumpties!$C$27</f>
        <v>29.97</v>
      </c>
      <c r="M17" s="16" t="n">
        <f aca="false">M14*Assumpties!$C$27</f>
        <v>29.97</v>
      </c>
      <c r="N17" s="16" t="n">
        <f aca="false">N14*Assumpties!$C$27</f>
        <v>39.96</v>
      </c>
      <c r="O17" s="16" t="n">
        <f aca="false">O14*Assumpties!$C$27</f>
        <v>59.94</v>
      </c>
      <c r="P17" s="16" t="n">
        <f aca="false">P14*Assumpties!$C$27</f>
        <v>59.94</v>
      </c>
      <c r="Q17" s="16" t="n">
        <f aca="false">Q14*Assumpties!$C$27</f>
        <v>59.94</v>
      </c>
      <c r="R17" s="16" t="n">
        <f aca="false">R14*Assumpties!$C$27</f>
        <v>59.94</v>
      </c>
      <c r="S17" s="16" t="n">
        <f aca="false">S14*Assumpties!$C$27</f>
        <v>59.94</v>
      </c>
      <c r="T17" s="16" t="n">
        <f aca="false">T14*Assumpties!$C$27</f>
        <v>59.94</v>
      </c>
      <c r="U17" s="16" t="n">
        <f aca="false">U14*Assumpties!$C$27</f>
        <v>69.93</v>
      </c>
      <c r="V17" s="16" t="n">
        <f aca="false">V14*Assumpties!$C$27</f>
        <v>79.92</v>
      </c>
      <c r="W17" s="16" t="n">
        <f aca="false">W14*Assumpties!$C$27</f>
        <v>79.92</v>
      </c>
      <c r="X17" s="16" t="n">
        <f aca="false">X14*Assumpties!$C$27</f>
        <v>79.92</v>
      </c>
      <c r="Y17" s="16" t="n">
        <f aca="false">Y14*Assumpties!$C$27</f>
        <v>99.9</v>
      </c>
      <c r="Z17" s="16" t="n">
        <f aca="false">Z14*Assumpties!$C$27</f>
        <v>109.89</v>
      </c>
    </row>
    <row r="18" customFormat="false" ht="15" hidden="false" customHeight="false" outlineLevel="0" collapsed="false">
      <c r="B18" s="8" t="s">
        <v>143</v>
      </c>
      <c r="C18" s="15" t="n">
        <f aca="false">C17</f>
        <v>9.99</v>
      </c>
      <c r="D18" s="15" t="n">
        <f aca="false">C18+D17</f>
        <v>39.96</v>
      </c>
      <c r="E18" s="15" t="n">
        <f aca="false">D18+E17</f>
        <v>69.93</v>
      </c>
      <c r="F18" s="15" t="n">
        <f aca="false">E18+F17</f>
        <v>99.9</v>
      </c>
      <c r="G18" s="15" t="n">
        <f aca="false">F18+G17</f>
        <v>129.87</v>
      </c>
      <c r="H18" s="15" t="n">
        <f aca="false">G18+H17</f>
        <v>159.84</v>
      </c>
      <c r="I18" s="15" t="n">
        <f aca="false">H18+I17</f>
        <v>189.81</v>
      </c>
      <c r="J18" s="15" t="n">
        <f aca="false">I18+J17</f>
        <v>219.78</v>
      </c>
      <c r="K18" s="15" t="n">
        <f aca="false">J18+K17</f>
        <v>249.75</v>
      </c>
      <c r="L18" s="15" t="n">
        <f aca="false">K18+L17</f>
        <v>279.72</v>
      </c>
      <c r="M18" s="15" t="n">
        <f aca="false">L18+M17</f>
        <v>309.69</v>
      </c>
      <c r="N18" s="15" t="n">
        <f aca="false">M18+N17</f>
        <v>349.65</v>
      </c>
      <c r="O18" s="15" t="n">
        <f aca="false">N18+O17</f>
        <v>409.59</v>
      </c>
      <c r="P18" s="15" t="n">
        <f aca="false">O18+P17</f>
        <v>469.53</v>
      </c>
      <c r="Q18" s="15" t="n">
        <f aca="false">P18+Q17</f>
        <v>529.47</v>
      </c>
      <c r="R18" s="15" t="n">
        <f aca="false">Q18+R17</f>
        <v>589.41</v>
      </c>
      <c r="S18" s="15" t="n">
        <f aca="false">R18+S17</f>
        <v>649.35</v>
      </c>
      <c r="T18" s="15" t="n">
        <f aca="false">S18+T17</f>
        <v>709.29</v>
      </c>
      <c r="U18" s="15" t="n">
        <f aca="false">T18+U17</f>
        <v>779.22</v>
      </c>
      <c r="V18" s="15" t="n">
        <f aca="false">U18+V17</f>
        <v>859.14</v>
      </c>
      <c r="W18" s="15" t="n">
        <f aca="false">V18+W17</f>
        <v>939.06</v>
      </c>
      <c r="X18" s="15" t="n">
        <f aca="false">W18+X17</f>
        <v>1018.98</v>
      </c>
      <c r="Y18" s="15" t="n">
        <f aca="false">X18+Y17</f>
        <v>1118.88</v>
      </c>
      <c r="Z18" s="15" t="n">
        <f aca="false">Y18+Z17</f>
        <v>1228.77</v>
      </c>
    </row>
    <row r="20" customFormat="false" ht="18" hidden="false" customHeight="true" outlineLevel="0" collapsed="false">
      <c r="A20" s="6" t="s">
        <v>166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B21" s="8" t="s">
        <v>145</v>
      </c>
      <c r="C21" s="15" t="n">
        <f aca="false">C17*Assumpties!$C$33+C14*Assumpties!$C$34</f>
        <v>0.53971</v>
      </c>
      <c r="D21" s="15" t="n">
        <f aca="false">D17*Assumpties!$C$33+D14*Assumpties!$C$34</f>
        <v>1.61913</v>
      </c>
      <c r="E21" s="15" t="n">
        <f aca="false">E17*Assumpties!$C$33+E14*Assumpties!$C$34</f>
        <v>1.61913</v>
      </c>
      <c r="F21" s="15" t="n">
        <f aca="false">F17*Assumpties!$C$33+F14*Assumpties!$C$34</f>
        <v>1.61913</v>
      </c>
      <c r="G21" s="15" t="n">
        <f aca="false">G17*Assumpties!$C$33+G14*Assumpties!$C$34</f>
        <v>1.61913</v>
      </c>
      <c r="H21" s="15" t="n">
        <f aca="false">H17*Assumpties!$C$33+H14*Assumpties!$C$34</f>
        <v>1.61913</v>
      </c>
      <c r="I21" s="15" t="n">
        <f aca="false">I17*Assumpties!$C$33+I14*Assumpties!$C$34</f>
        <v>1.61913</v>
      </c>
      <c r="J21" s="15" t="n">
        <f aca="false">J17*Assumpties!$C$33+J14*Assumpties!$C$34</f>
        <v>1.61913</v>
      </c>
      <c r="K21" s="15" t="n">
        <f aca="false">K17*Assumpties!$C$33+K14*Assumpties!$C$34</f>
        <v>1.61913</v>
      </c>
      <c r="L21" s="15" t="n">
        <f aca="false">L17*Assumpties!$C$33+L14*Assumpties!$C$34</f>
        <v>1.61913</v>
      </c>
      <c r="M21" s="15" t="n">
        <f aca="false">M17*Assumpties!$C$33+M14*Assumpties!$C$34</f>
        <v>1.61913</v>
      </c>
      <c r="N21" s="15" t="n">
        <f aca="false">N17*Assumpties!$C$33+N14*Assumpties!$C$34</f>
        <v>2.15884</v>
      </c>
      <c r="O21" s="15" t="n">
        <f aca="false">O17*Assumpties!$C$33+O14*Assumpties!$C$34</f>
        <v>3.23826</v>
      </c>
      <c r="P21" s="15" t="n">
        <f aca="false">P17*Assumpties!$C$33+P14*Assumpties!$C$34</f>
        <v>3.23826</v>
      </c>
      <c r="Q21" s="15" t="n">
        <f aca="false">Q17*Assumpties!$C$33+Q14*Assumpties!$C$34</f>
        <v>3.23826</v>
      </c>
      <c r="R21" s="15" t="n">
        <f aca="false">R17*Assumpties!$C$33+R14*Assumpties!$C$34</f>
        <v>3.23826</v>
      </c>
      <c r="S21" s="15" t="n">
        <f aca="false">S17*Assumpties!$C$33+S14*Assumpties!$C$34</f>
        <v>3.23826</v>
      </c>
      <c r="T21" s="15" t="n">
        <f aca="false">T17*Assumpties!$C$33+T14*Assumpties!$C$34</f>
        <v>3.23826</v>
      </c>
      <c r="U21" s="15" t="n">
        <f aca="false">U17*Assumpties!$C$33+U14*Assumpties!$C$34</f>
        <v>3.77797</v>
      </c>
      <c r="V21" s="15" t="n">
        <f aca="false">V17*Assumpties!$C$33+V14*Assumpties!$C$34</f>
        <v>4.31768</v>
      </c>
      <c r="W21" s="15" t="n">
        <f aca="false">W17*Assumpties!$C$33+W14*Assumpties!$C$34</f>
        <v>4.31768</v>
      </c>
      <c r="X21" s="15" t="n">
        <f aca="false">X17*Assumpties!$C$33+X14*Assumpties!$C$34</f>
        <v>4.31768</v>
      </c>
      <c r="Y21" s="15" t="n">
        <f aca="false">Y17*Assumpties!$C$33+Y14*Assumpties!$C$34</f>
        <v>5.3971</v>
      </c>
      <c r="Z21" s="15" t="n">
        <f aca="false">Z17*Assumpties!$C$33+Z14*Assumpties!$C$34</f>
        <v>5.93681</v>
      </c>
    </row>
    <row r="22" customFormat="false" ht="15" hidden="false" customHeight="false" outlineLevel="0" collapsed="false">
      <c r="B22" s="8" t="s">
        <v>176</v>
      </c>
      <c r="C22" s="15" t="n">
        <f aca="false">C12*0.2</f>
        <v>0.2</v>
      </c>
      <c r="D22" s="15" t="n">
        <f aca="false">D12*0.2</f>
        <v>0.4</v>
      </c>
      <c r="E22" s="15" t="n">
        <f aca="false">E12*0.2</f>
        <v>0.4</v>
      </c>
      <c r="F22" s="15" t="n">
        <f aca="false">F12*0.2</f>
        <v>0.4</v>
      </c>
      <c r="G22" s="15" t="n">
        <f aca="false">G12*0.2</f>
        <v>0.4</v>
      </c>
      <c r="H22" s="15" t="n">
        <f aca="false">H12*0.2</f>
        <v>0.4</v>
      </c>
      <c r="I22" s="15" t="n">
        <f aca="false">I12*0.2</f>
        <v>0.4</v>
      </c>
      <c r="J22" s="15" t="n">
        <f aca="false">J12*0.2</f>
        <v>0.4</v>
      </c>
      <c r="K22" s="15" t="n">
        <f aca="false">K12*0.2</f>
        <v>0.4</v>
      </c>
      <c r="L22" s="15" t="n">
        <f aca="false">L12*0.2</f>
        <v>0.4</v>
      </c>
      <c r="M22" s="15" t="n">
        <f aca="false">M12*0.2</f>
        <v>0.4</v>
      </c>
      <c r="N22" s="15" t="n">
        <f aca="false">N12*0.2</f>
        <v>0.6</v>
      </c>
      <c r="O22" s="15" t="n">
        <f aca="false">O12*0.2</f>
        <v>0.8</v>
      </c>
      <c r="P22" s="15" t="n">
        <f aca="false">P12*0.2</f>
        <v>0.8</v>
      </c>
      <c r="Q22" s="15" t="n">
        <f aca="false">Q12*0.2</f>
        <v>0.8</v>
      </c>
      <c r="R22" s="15" t="n">
        <f aca="false">R12*0.2</f>
        <v>0.8</v>
      </c>
      <c r="S22" s="15" t="n">
        <f aca="false">S12*0.2</f>
        <v>0.8</v>
      </c>
      <c r="T22" s="15" t="n">
        <f aca="false">T12*0.2</f>
        <v>0.8</v>
      </c>
      <c r="U22" s="15" t="n">
        <f aca="false">U12*0.2</f>
        <v>1</v>
      </c>
      <c r="V22" s="15" t="n">
        <f aca="false">V12*0.2</f>
        <v>1.2</v>
      </c>
      <c r="W22" s="15" t="n">
        <f aca="false">W12*0.2</f>
        <v>1.2</v>
      </c>
      <c r="X22" s="15" t="n">
        <f aca="false">X12*0.2</f>
        <v>1.2</v>
      </c>
      <c r="Y22" s="15" t="n">
        <f aca="false">Y12*0.2</f>
        <v>1.4</v>
      </c>
      <c r="Z22" s="15" t="n">
        <f aca="false">Z12*0.2</f>
        <v>1.6</v>
      </c>
    </row>
    <row r="23" customFormat="false" ht="15" hidden="false" customHeight="false" outlineLevel="0" collapsed="false">
      <c r="B23" s="8" t="s">
        <v>147</v>
      </c>
      <c r="C23" s="15" t="n">
        <f aca="false">Assumpties!$C$35</f>
        <v>25</v>
      </c>
      <c r="D23" s="15" t="n">
        <f aca="false">Assumpties!$C$35</f>
        <v>25</v>
      </c>
      <c r="E23" s="15" t="n">
        <f aca="false">Assumpties!$C$35</f>
        <v>25</v>
      </c>
      <c r="F23" s="15" t="n">
        <f aca="false">Assumpties!$C$35</f>
        <v>25</v>
      </c>
      <c r="G23" s="15" t="n">
        <f aca="false">Assumpties!$C$35</f>
        <v>25</v>
      </c>
      <c r="H23" s="15" t="n">
        <f aca="false">Assumpties!$C$35</f>
        <v>25</v>
      </c>
      <c r="I23" s="15" t="n">
        <f aca="false">Assumpties!$C$35</f>
        <v>25</v>
      </c>
      <c r="J23" s="15" t="n">
        <f aca="false">Assumpties!$C$35</f>
        <v>25</v>
      </c>
      <c r="K23" s="15" t="n">
        <f aca="false">Assumpties!$C$35</f>
        <v>25</v>
      </c>
      <c r="L23" s="15" t="n">
        <f aca="false">Assumpties!$C$35</f>
        <v>25</v>
      </c>
      <c r="M23" s="15" t="n">
        <f aca="false">Assumpties!$C$35</f>
        <v>25</v>
      </c>
      <c r="N23" s="15" t="n">
        <f aca="false">Assumpties!$C$35</f>
        <v>25</v>
      </c>
      <c r="O23" s="15" t="n">
        <f aca="false">Assumpties!$C$35</f>
        <v>25</v>
      </c>
      <c r="P23" s="15" t="n">
        <f aca="false">Assumpties!$C$35</f>
        <v>25</v>
      </c>
      <c r="Q23" s="15" t="n">
        <f aca="false">Assumpties!$C$35</f>
        <v>25</v>
      </c>
      <c r="R23" s="15" t="n">
        <f aca="false">Assumpties!$C$35</f>
        <v>25</v>
      </c>
      <c r="S23" s="15" t="n">
        <f aca="false">Assumpties!$C$35</f>
        <v>25</v>
      </c>
      <c r="T23" s="15" t="n">
        <f aca="false">Assumpties!$C$35</f>
        <v>25</v>
      </c>
      <c r="U23" s="15" t="n">
        <f aca="false">Assumpties!$C$35</f>
        <v>25</v>
      </c>
      <c r="V23" s="15" t="n">
        <f aca="false">Assumpties!$C$35</f>
        <v>25</v>
      </c>
      <c r="W23" s="15" t="n">
        <f aca="false">Assumpties!$C$35</f>
        <v>25</v>
      </c>
      <c r="X23" s="15" t="n">
        <f aca="false">Assumpties!$C$35</f>
        <v>25</v>
      </c>
      <c r="Y23" s="15" t="n">
        <f aca="false">Assumpties!$C$35</f>
        <v>25</v>
      </c>
      <c r="Z23" s="15" t="n">
        <f aca="false">Assumpties!$C$35</f>
        <v>25</v>
      </c>
    </row>
    <row r="24" customFormat="false" ht="15" hidden="false" customHeight="false" outlineLevel="0" collapsed="false">
      <c r="B24" s="8" t="s">
        <v>168</v>
      </c>
      <c r="C24" s="15" t="n">
        <f aca="false">C9*Assumpties!$C$38</f>
        <v>8</v>
      </c>
      <c r="D24" s="15" t="n">
        <f aca="false">D9*Assumpties!$C$38</f>
        <v>8</v>
      </c>
      <c r="E24" s="15" t="n">
        <f aca="false">E9*Assumpties!$C$38</f>
        <v>8</v>
      </c>
      <c r="F24" s="15" t="n">
        <f aca="false">F9*Assumpties!$C$38</f>
        <v>8</v>
      </c>
      <c r="G24" s="15" t="n">
        <f aca="false">G9*Assumpties!$C$38</f>
        <v>8</v>
      </c>
      <c r="H24" s="15" t="n">
        <f aca="false">H9*Assumpties!$C$38</f>
        <v>8</v>
      </c>
      <c r="I24" s="15" t="n">
        <f aca="false">I9*Assumpties!$C$38</f>
        <v>8</v>
      </c>
      <c r="J24" s="15" t="n">
        <f aca="false">J9*Assumpties!$C$38</f>
        <v>8</v>
      </c>
      <c r="K24" s="15" t="n">
        <f aca="false">K9*Assumpties!$C$38</f>
        <v>8</v>
      </c>
      <c r="L24" s="15" t="n">
        <f aca="false">L9*Assumpties!$C$38</f>
        <v>8</v>
      </c>
      <c r="M24" s="15" t="n">
        <f aca="false">M9*Assumpties!$C$38</f>
        <v>8</v>
      </c>
      <c r="N24" s="15" t="n">
        <f aca="false">N9*Assumpties!$C$38</f>
        <v>16</v>
      </c>
      <c r="O24" s="15" t="n">
        <f aca="false">O9*Assumpties!$C$38</f>
        <v>16</v>
      </c>
      <c r="P24" s="15" t="n">
        <f aca="false">P9*Assumpties!$C$38</f>
        <v>16</v>
      </c>
      <c r="Q24" s="15" t="n">
        <f aca="false">Q9*Assumpties!$C$38</f>
        <v>16</v>
      </c>
      <c r="R24" s="15" t="n">
        <f aca="false">R9*Assumpties!$C$38</f>
        <v>16</v>
      </c>
      <c r="S24" s="15" t="n">
        <f aca="false">S9*Assumpties!$C$38</f>
        <v>16</v>
      </c>
      <c r="T24" s="15" t="n">
        <f aca="false">T9*Assumpties!$C$38</f>
        <v>16</v>
      </c>
      <c r="U24" s="15" t="n">
        <f aca="false">U9*Assumpties!$C$38</f>
        <v>24</v>
      </c>
      <c r="V24" s="15" t="n">
        <f aca="false">V9*Assumpties!$C$38</f>
        <v>24</v>
      </c>
      <c r="W24" s="15" t="n">
        <f aca="false">W9*Assumpties!$C$38</f>
        <v>24</v>
      </c>
      <c r="X24" s="15" t="n">
        <f aca="false">X9*Assumpties!$C$38</f>
        <v>24</v>
      </c>
      <c r="Y24" s="15" t="n">
        <f aca="false">Y9*Assumpties!$C$38</f>
        <v>32</v>
      </c>
      <c r="Z24" s="15" t="n">
        <f aca="false">Z9*Assumpties!$C$38</f>
        <v>32</v>
      </c>
    </row>
    <row r="25" customFormat="false" ht="15" hidden="false" customHeight="false" outlineLevel="0" collapsed="false">
      <c r="B25" s="4" t="s">
        <v>149</v>
      </c>
      <c r="C25" s="16" t="n">
        <f aca="false">C17-C21-C22-C23-C24</f>
        <v>-23.74971</v>
      </c>
      <c r="D25" s="16" t="n">
        <f aca="false">D17-D21-D22-D23-D24</f>
        <v>-5.04913</v>
      </c>
      <c r="E25" s="16" t="n">
        <f aca="false">E17-E21-E22-E23-E24</f>
        <v>-5.04913</v>
      </c>
      <c r="F25" s="16" t="n">
        <f aca="false">F17-F21-F22-F23-F24</f>
        <v>-5.04913</v>
      </c>
      <c r="G25" s="16" t="n">
        <f aca="false">G17-G21-G22-G23-G24</f>
        <v>-5.04913</v>
      </c>
      <c r="H25" s="16" t="n">
        <f aca="false">H17-H21-H22-H23-H24</f>
        <v>-5.04913</v>
      </c>
      <c r="I25" s="16" t="n">
        <f aca="false">I17-I21-I22-I23-I24</f>
        <v>-5.04913</v>
      </c>
      <c r="J25" s="16" t="n">
        <f aca="false">J17-J21-J22-J23-J24</f>
        <v>-5.04913</v>
      </c>
      <c r="K25" s="16" t="n">
        <f aca="false">K17-K21-K22-K23-K24</f>
        <v>-5.04913</v>
      </c>
      <c r="L25" s="16" t="n">
        <f aca="false">L17-L21-L22-L23-L24</f>
        <v>-5.04913</v>
      </c>
      <c r="M25" s="16" t="n">
        <f aca="false">M17-M21-M22-M23-M24</f>
        <v>-5.04913</v>
      </c>
      <c r="N25" s="16" t="n">
        <f aca="false">N17-N21-N22-N23-N24</f>
        <v>-3.79884</v>
      </c>
      <c r="O25" s="16" t="n">
        <f aca="false">O17-O21-O22-O23-O24</f>
        <v>14.90174</v>
      </c>
      <c r="P25" s="16" t="n">
        <f aca="false">P17-P21-P22-P23-P24</f>
        <v>14.90174</v>
      </c>
      <c r="Q25" s="16" t="n">
        <f aca="false">Q17-Q21-Q22-Q23-Q24</f>
        <v>14.90174</v>
      </c>
      <c r="R25" s="16" t="n">
        <f aca="false">R17-R21-R22-R23-R24</f>
        <v>14.90174</v>
      </c>
      <c r="S25" s="16" t="n">
        <f aca="false">S17-S21-S22-S23-S24</f>
        <v>14.90174</v>
      </c>
      <c r="T25" s="16" t="n">
        <f aca="false">T17-T21-T22-T23-T24</f>
        <v>14.90174</v>
      </c>
      <c r="U25" s="16" t="n">
        <f aca="false">U17-U21-U22-U23-U24</f>
        <v>16.15203</v>
      </c>
      <c r="V25" s="16" t="n">
        <f aca="false">V17-V21-V22-V23-V24</f>
        <v>25.40232</v>
      </c>
      <c r="W25" s="16" t="n">
        <f aca="false">W17-W21-W22-W23-W24</f>
        <v>25.40232</v>
      </c>
      <c r="X25" s="16" t="n">
        <f aca="false">X17-X21-X22-X23-X24</f>
        <v>25.40232</v>
      </c>
      <c r="Y25" s="16" t="n">
        <f aca="false">Y17-Y21-Y22-Y23-Y24</f>
        <v>36.1029</v>
      </c>
      <c r="Z25" s="16" t="n">
        <f aca="false">Z17-Z21-Z22-Z23-Z24</f>
        <v>45.35319</v>
      </c>
    </row>
    <row r="26" customFormat="false" ht="15" hidden="false" customHeight="false" outlineLevel="0" collapsed="false">
      <c r="B26" s="8" t="s">
        <v>150</v>
      </c>
      <c r="C26" s="15" t="n">
        <f aca="false">C25</f>
        <v>-23.74971</v>
      </c>
      <c r="D26" s="15" t="n">
        <f aca="false">C26+D25</f>
        <v>-28.79884</v>
      </c>
      <c r="E26" s="15" t="n">
        <f aca="false">D26+E25</f>
        <v>-33.84797</v>
      </c>
      <c r="F26" s="15" t="n">
        <f aca="false">E26+F25</f>
        <v>-38.8971</v>
      </c>
      <c r="G26" s="15" t="n">
        <f aca="false">F26+G25</f>
        <v>-43.94623</v>
      </c>
      <c r="H26" s="15" t="n">
        <f aca="false">G26+H25</f>
        <v>-48.99536</v>
      </c>
      <c r="I26" s="15" t="n">
        <f aca="false">H26+I25</f>
        <v>-54.04449</v>
      </c>
      <c r="J26" s="15" t="n">
        <f aca="false">I26+J25</f>
        <v>-59.09362</v>
      </c>
      <c r="K26" s="15" t="n">
        <f aca="false">J26+K25</f>
        <v>-64.14275</v>
      </c>
      <c r="L26" s="15" t="n">
        <f aca="false">K26+L25</f>
        <v>-69.19188</v>
      </c>
      <c r="M26" s="15" t="n">
        <f aca="false">L26+M25</f>
        <v>-74.24101</v>
      </c>
      <c r="N26" s="15" t="n">
        <f aca="false">M26+N25</f>
        <v>-78.03985</v>
      </c>
      <c r="O26" s="15" t="n">
        <f aca="false">N26+O25</f>
        <v>-63.13811</v>
      </c>
      <c r="P26" s="15" t="n">
        <f aca="false">O26+P25</f>
        <v>-48.23637</v>
      </c>
      <c r="Q26" s="15" t="n">
        <f aca="false">P26+Q25</f>
        <v>-33.33463</v>
      </c>
      <c r="R26" s="15" t="n">
        <f aca="false">Q26+R25</f>
        <v>-18.4328899999999</v>
      </c>
      <c r="S26" s="15" t="n">
        <f aca="false">R26+S25</f>
        <v>-3.53114999999994</v>
      </c>
      <c r="T26" s="15" t="n">
        <f aca="false">S26+T25</f>
        <v>11.3705900000001</v>
      </c>
      <c r="U26" s="15" t="n">
        <f aca="false">T26+U25</f>
        <v>27.5226200000001</v>
      </c>
      <c r="V26" s="15" t="n">
        <f aca="false">U26+V25</f>
        <v>52.9249400000001</v>
      </c>
      <c r="W26" s="15" t="n">
        <f aca="false">V26+W25</f>
        <v>78.3272600000001</v>
      </c>
      <c r="X26" s="15" t="n">
        <f aca="false">W26+X25</f>
        <v>103.72958</v>
      </c>
      <c r="Y26" s="15" t="n">
        <f aca="false">X26+Y25</f>
        <v>139.83248</v>
      </c>
      <c r="Z26" s="15" t="n">
        <f aca="false">Y26+Z25</f>
        <v>185.18567</v>
      </c>
    </row>
  </sheetData>
  <mergeCells count="5">
    <mergeCell ref="A1:Z1"/>
    <mergeCell ref="A5:Z5"/>
    <mergeCell ref="A11:Z11"/>
    <mergeCell ref="A16:Z16"/>
    <mergeCell ref="A20:Z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26" min="3" style="0" width="12"/>
    <col collapsed="false" customWidth="true" hidden="false" outlineLevel="0" max="27" min="27" style="0" width="4"/>
  </cols>
  <sheetData>
    <row r="1" customFormat="false" ht="24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2.8" hidden="false" customHeight="false" outlineLevel="0" collapsed="false">
      <c r="B2" s="5" t="s">
        <v>103</v>
      </c>
    </row>
    <row r="4" customFormat="false" ht="21.75" hidden="false" customHeight="true" outlineLevel="0" collapsed="false">
      <c r="A4" s="7"/>
      <c r="B4" s="7" t="s">
        <v>104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7" t="s">
        <v>112</v>
      </c>
      <c r="K4" s="7" t="s">
        <v>113</v>
      </c>
      <c r="L4" s="7" t="s">
        <v>114</v>
      </c>
      <c r="M4" s="7" t="s">
        <v>115</v>
      </c>
      <c r="N4" s="7" t="s">
        <v>116</v>
      </c>
      <c r="O4" s="7" t="s">
        <v>117</v>
      </c>
      <c r="P4" s="7" t="s">
        <v>118</v>
      </c>
      <c r="Q4" s="7" t="s">
        <v>119</v>
      </c>
      <c r="R4" s="7" t="s">
        <v>120</v>
      </c>
      <c r="S4" s="7" t="s">
        <v>121</v>
      </c>
      <c r="T4" s="7" t="s">
        <v>122</v>
      </c>
      <c r="U4" s="7" t="s">
        <v>123</v>
      </c>
      <c r="V4" s="7" t="s">
        <v>124</v>
      </c>
      <c r="W4" s="7" t="s">
        <v>125</v>
      </c>
      <c r="X4" s="7" t="s">
        <v>126</v>
      </c>
      <c r="Y4" s="7" t="s">
        <v>127</v>
      </c>
      <c r="Z4" s="7" t="s">
        <v>128</v>
      </c>
      <c r="AA4" s="7"/>
    </row>
    <row r="5" customFormat="false" ht="18" hidden="false" customHeight="true" outlineLevel="0" collapsed="false">
      <c r="A5" s="6" t="s">
        <v>129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B6" s="4" t="s">
        <v>130</v>
      </c>
      <c r="C6" s="14" t="n">
        <f aca="false">Assumpties!$C$7</f>
        <v>30</v>
      </c>
      <c r="D6" s="14" t="n">
        <f aca="false">ROUND(C6*(1+Assumpties!$C$8),0)</f>
        <v>32</v>
      </c>
      <c r="E6" s="14" t="n">
        <f aca="false">ROUND(D6*(1+Assumpties!$C$8),0)</f>
        <v>35</v>
      </c>
      <c r="F6" s="14" t="n">
        <f aca="false">ROUND(E6*(1+Assumpties!$C$8),0)</f>
        <v>38</v>
      </c>
      <c r="G6" s="14" t="n">
        <f aca="false">ROUND(F6*(1+Assumpties!$C$8),0)</f>
        <v>41</v>
      </c>
      <c r="H6" s="14" t="n">
        <f aca="false">ROUND(G6*(1+Assumpties!$C$8),0)</f>
        <v>44</v>
      </c>
      <c r="I6" s="14" t="n">
        <f aca="false">ROUND(H6*(1+Assumpties!$C$8),0)</f>
        <v>48</v>
      </c>
      <c r="J6" s="14" t="n">
        <f aca="false">ROUND(I6*(1+Assumpties!$C$8),0)</f>
        <v>52</v>
      </c>
      <c r="K6" s="14" t="n">
        <f aca="false">ROUND(J6*(1+Assumpties!$C$8),0)</f>
        <v>56</v>
      </c>
      <c r="L6" s="14" t="n">
        <f aca="false">ROUND(K6*(1+Assumpties!$C$8),0)</f>
        <v>60</v>
      </c>
      <c r="M6" s="14" t="n">
        <f aca="false">ROUND(L6*(1+Assumpties!$C$8),0)</f>
        <v>65</v>
      </c>
      <c r="N6" s="14" t="n">
        <f aca="false">ROUND(M6*(1+Assumpties!$C$8),0)</f>
        <v>70</v>
      </c>
      <c r="O6" s="14" t="n">
        <f aca="false">ROUND(N6*(1+Assumpties!$C$8),0)</f>
        <v>76</v>
      </c>
      <c r="P6" s="14" t="n">
        <f aca="false">ROUND(O6*(1+Assumpties!$C$8),0)</f>
        <v>82</v>
      </c>
      <c r="Q6" s="14" t="n">
        <f aca="false">ROUND(P6*(1+Assumpties!$C$8),0)</f>
        <v>89</v>
      </c>
      <c r="R6" s="14" t="n">
        <f aca="false">ROUND(Q6*(1+Assumpties!$C$8),0)</f>
        <v>96</v>
      </c>
      <c r="S6" s="14" t="n">
        <f aca="false">ROUND(R6*(1+Assumpties!$C$8),0)</f>
        <v>104</v>
      </c>
      <c r="T6" s="14" t="n">
        <f aca="false">ROUND(S6*(1+Assumpties!$C$8),0)</f>
        <v>112</v>
      </c>
      <c r="U6" s="14" t="n">
        <f aca="false">ROUND(T6*(1+Assumpties!$C$8),0)</f>
        <v>121</v>
      </c>
      <c r="V6" s="14" t="n">
        <f aca="false">ROUND(U6*(1+Assumpties!$C$8),0)</f>
        <v>131</v>
      </c>
      <c r="W6" s="14" t="n">
        <f aca="false">ROUND(V6*(1+Assumpties!$C$8),0)</f>
        <v>141</v>
      </c>
      <c r="X6" s="14" t="n">
        <f aca="false">ROUND(W6*(1+Assumpties!$C$8),0)</f>
        <v>152</v>
      </c>
      <c r="Y6" s="14" t="n">
        <f aca="false">ROUND(X6*(1+Assumpties!$C$8),0)</f>
        <v>164</v>
      </c>
      <c r="Z6" s="14" t="n">
        <f aca="false">ROUND(Y6*(1+Assumpties!$C$8),0)</f>
        <v>177</v>
      </c>
    </row>
    <row r="7" customFormat="false" ht="15" hidden="false" customHeight="false" outlineLevel="0" collapsed="false">
      <c r="B7" s="8" t="s">
        <v>131</v>
      </c>
      <c r="C7" s="14" t="n">
        <f aca="false">C6</f>
        <v>30</v>
      </c>
      <c r="D7" s="14" t="n">
        <f aca="false">C7+D6</f>
        <v>62</v>
      </c>
      <c r="E7" s="14" t="n">
        <f aca="false">D7+E6</f>
        <v>97</v>
      </c>
      <c r="F7" s="14" t="n">
        <f aca="false">E7+F6</f>
        <v>135</v>
      </c>
      <c r="G7" s="14" t="n">
        <f aca="false">F7+G6</f>
        <v>176</v>
      </c>
      <c r="H7" s="14" t="n">
        <f aca="false">G7+H6</f>
        <v>220</v>
      </c>
      <c r="I7" s="14" t="n">
        <f aca="false">H7+I6</f>
        <v>268</v>
      </c>
      <c r="J7" s="14" t="n">
        <f aca="false">I7+J6</f>
        <v>320</v>
      </c>
      <c r="K7" s="14" t="n">
        <f aca="false">J7+K6</f>
        <v>376</v>
      </c>
      <c r="L7" s="14" t="n">
        <f aca="false">K7+L6</f>
        <v>436</v>
      </c>
      <c r="M7" s="14" t="n">
        <f aca="false">L7+M6</f>
        <v>501</v>
      </c>
      <c r="N7" s="14" t="n">
        <f aca="false">M7+N6</f>
        <v>571</v>
      </c>
      <c r="O7" s="14" t="n">
        <f aca="false">N7+O6</f>
        <v>647</v>
      </c>
      <c r="P7" s="14" t="n">
        <f aca="false">O7+P6</f>
        <v>729</v>
      </c>
      <c r="Q7" s="14" t="n">
        <f aca="false">P7+Q6</f>
        <v>818</v>
      </c>
      <c r="R7" s="14" t="n">
        <f aca="false">Q7+R6</f>
        <v>914</v>
      </c>
      <c r="S7" s="14" t="n">
        <f aca="false">R7+S6</f>
        <v>1018</v>
      </c>
      <c r="T7" s="14" t="n">
        <f aca="false">S7+T6</f>
        <v>1130</v>
      </c>
      <c r="U7" s="14" t="n">
        <f aca="false">T7+U6</f>
        <v>1251</v>
      </c>
      <c r="V7" s="14" t="n">
        <f aca="false">U7+V6</f>
        <v>1382</v>
      </c>
      <c r="W7" s="14" t="n">
        <f aca="false">V7+W6</f>
        <v>1523</v>
      </c>
      <c r="X7" s="14" t="n">
        <f aca="false">W7+X6</f>
        <v>1675</v>
      </c>
      <c r="Y7" s="14" t="n">
        <f aca="false">X7+Y6</f>
        <v>1839</v>
      </c>
      <c r="Z7" s="14" t="n">
        <f aca="false">Y7+Z6</f>
        <v>2016</v>
      </c>
    </row>
    <row r="8" customFormat="false" ht="15" hidden="false" customHeight="false" outlineLevel="0" collapsed="false">
      <c r="B8" s="8" t="s">
        <v>132</v>
      </c>
      <c r="C8" s="14" t="n">
        <f aca="false">ROUND(C7*Assumpties!$C$9,0)</f>
        <v>17</v>
      </c>
      <c r="D8" s="14" t="n">
        <f aca="false">ROUND(D7*Assumpties!$C$9,0)</f>
        <v>34</v>
      </c>
      <c r="E8" s="14" t="n">
        <f aca="false">ROUND(E7*Assumpties!$C$9,0)</f>
        <v>53</v>
      </c>
      <c r="F8" s="14" t="n">
        <f aca="false">ROUND(F7*Assumpties!$C$9,0)</f>
        <v>74</v>
      </c>
      <c r="G8" s="14" t="n">
        <f aca="false">ROUND(G7*Assumpties!$C$9,0)</f>
        <v>97</v>
      </c>
      <c r="H8" s="14" t="n">
        <f aca="false">ROUND(H7*Assumpties!$C$9,0)</f>
        <v>121</v>
      </c>
      <c r="I8" s="14" t="n">
        <f aca="false">ROUND(I7*Assumpties!$C$9,0)</f>
        <v>147</v>
      </c>
      <c r="J8" s="14" t="n">
        <f aca="false">ROUND(J7*Assumpties!$C$9,0)</f>
        <v>176</v>
      </c>
      <c r="K8" s="14" t="n">
        <f aca="false">ROUND(K7*Assumpties!$C$9,0)</f>
        <v>207</v>
      </c>
      <c r="L8" s="14" t="n">
        <f aca="false">ROUND(L7*Assumpties!$C$9,0)</f>
        <v>240</v>
      </c>
      <c r="M8" s="14" t="n">
        <f aca="false">ROUND(M7*Assumpties!$C$9,0)</f>
        <v>276</v>
      </c>
      <c r="N8" s="14" t="n">
        <f aca="false">ROUND(N7*Assumpties!$C$9,0)</f>
        <v>314</v>
      </c>
      <c r="O8" s="14" t="n">
        <f aca="false">ROUND(O7*Assumpties!$C$9,0)</f>
        <v>356</v>
      </c>
      <c r="P8" s="14" t="n">
        <f aca="false">ROUND(P7*Assumpties!$C$9,0)</f>
        <v>401</v>
      </c>
      <c r="Q8" s="14" t="n">
        <f aca="false">ROUND(Q7*Assumpties!$C$9,0)</f>
        <v>450</v>
      </c>
      <c r="R8" s="14" t="n">
        <f aca="false">ROUND(R7*Assumpties!$C$9,0)</f>
        <v>503</v>
      </c>
      <c r="S8" s="14" t="n">
        <f aca="false">ROUND(S7*Assumpties!$C$9,0)</f>
        <v>560</v>
      </c>
      <c r="T8" s="14" t="n">
        <f aca="false">ROUND(T7*Assumpties!$C$9,0)</f>
        <v>622</v>
      </c>
      <c r="U8" s="14" t="n">
        <f aca="false">ROUND(U7*Assumpties!$C$9,0)</f>
        <v>688</v>
      </c>
      <c r="V8" s="14" t="n">
        <f aca="false">ROUND(V7*Assumpties!$C$9,0)</f>
        <v>760</v>
      </c>
      <c r="W8" s="14" t="n">
        <f aca="false">ROUND(W7*Assumpties!$C$9,0)</f>
        <v>838</v>
      </c>
      <c r="X8" s="14" t="n">
        <f aca="false">ROUND(X7*Assumpties!$C$9,0)</f>
        <v>921</v>
      </c>
      <c r="Y8" s="14" t="n">
        <f aca="false">ROUND(Y7*Assumpties!$C$9,0)</f>
        <v>1011</v>
      </c>
      <c r="Z8" s="14" t="n">
        <f aca="false">ROUND(Z7*Assumpties!$C$9,0)</f>
        <v>1109</v>
      </c>
    </row>
    <row r="9" customFormat="false" ht="15" hidden="false" customHeight="false" outlineLevel="0" collapsed="false">
      <c r="B9" s="4" t="s">
        <v>133</v>
      </c>
      <c r="C9" s="14" t="n">
        <f aca="false">ROUND(C6*Assumpties!$C$9*Assumpties!$C$10,0)</f>
        <v>1</v>
      </c>
      <c r="D9" s="14" t="n">
        <f aca="false">ROUND(D6*Assumpties!$C$9*Assumpties!$C$10,0)</f>
        <v>1</v>
      </c>
      <c r="E9" s="14" t="n">
        <f aca="false">ROUND(E6*Assumpties!$C$9*Assumpties!$C$10,0)</f>
        <v>1</v>
      </c>
      <c r="F9" s="14" t="n">
        <f aca="false">ROUND(F6*Assumpties!$C$9*Assumpties!$C$10,0)</f>
        <v>1</v>
      </c>
      <c r="G9" s="14" t="n">
        <f aca="false">ROUND(G6*Assumpties!$C$9*Assumpties!$C$10,0)</f>
        <v>1</v>
      </c>
      <c r="H9" s="14" t="n">
        <f aca="false">ROUND(H6*Assumpties!$C$9*Assumpties!$C$10,0)</f>
        <v>1</v>
      </c>
      <c r="I9" s="14" t="n">
        <f aca="false">ROUND(I6*Assumpties!$C$9*Assumpties!$C$10,0)</f>
        <v>1</v>
      </c>
      <c r="J9" s="14" t="n">
        <f aca="false">ROUND(J6*Assumpties!$C$9*Assumpties!$C$10,0)</f>
        <v>1</v>
      </c>
      <c r="K9" s="14" t="n">
        <f aca="false">ROUND(K6*Assumpties!$C$9*Assumpties!$C$10,0)</f>
        <v>1</v>
      </c>
      <c r="L9" s="14" t="n">
        <f aca="false">ROUND(L6*Assumpties!$C$9*Assumpties!$C$10,0)</f>
        <v>1</v>
      </c>
      <c r="M9" s="14" t="n">
        <f aca="false">ROUND(M6*Assumpties!$C$9*Assumpties!$C$10,0)</f>
        <v>1</v>
      </c>
      <c r="N9" s="14" t="n">
        <f aca="false">ROUND(N6*Assumpties!$C$9*Assumpties!$C$10,0)</f>
        <v>2</v>
      </c>
      <c r="O9" s="14" t="n">
        <f aca="false">ROUND(O6*Assumpties!$C$9*Assumpties!$C$10,0)</f>
        <v>2</v>
      </c>
      <c r="P9" s="14" t="n">
        <f aca="false">ROUND(P6*Assumpties!$C$9*Assumpties!$C$10,0)</f>
        <v>2</v>
      </c>
      <c r="Q9" s="14" t="n">
        <f aca="false">ROUND(Q6*Assumpties!$C$9*Assumpties!$C$10,0)</f>
        <v>2</v>
      </c>
      <c r="R9" s="14" t="n">
        <f aca="false">ROUND(R6*Assumpties!$C$9*Assumpties!$C$10,0)</f>
        <v>2</v>
      </c>
      <c r="S9" s="14" t="n">
        <f aca="false">ROUND(S6*Assumpties!$C$9*Assumpties!$C$10,0)</f>
        <v>2</v>
      </c>
      <c r="T9" s="14" t="n">
        <f aca="false">ROUND(T6*Assumpties!$C$9*Assumpties!$C$10,0)</f>
        <v>2</v>
      </c>
      <c r="U9" s="14" t="n">
        <f aca="false">ROUND(U6*Assumpties!$C$9*Assumpties!$C$10,0)</f>
        <v>3</v>
      </c>
      <c r="V9" s="14" t="n">
        <f aca="false">ROUND(V6*Assumpties!$C$9*Assumpties!$C$10,0)</f>
        <v>3</v>
      </c>
      <c r="W9" s="14" t="n">
        <f aca="false">ROUND(W6*Assumpties!$C$9*Assumpties!$C$10,0)</f>
        <v>3</v>
      </c>
      <c r="X9" s="14" t="n">
        <f aca="false">ROUND(X6*Assumpties!$C$9*Assumpties!$C$10,0)</f>
        <v>3</v>
      </c>
      <c r="Y9" s="14" t="n">
        <f aca="false">ROUND(Y6*Assumpties!$C$9*Assumpties!$C$10,0)</f>
        <v>4</v>
      </c>
      <c r="Z9" s="14" t="n">
        <f aca="false">ROUND(Z6*Assumpties!$C$9*Assumpties!$C$10,0)</f>
        <v>4</v>
      </c>
    </row>
    <row r="11" customFormat="false" ht="18" hidden="false" customHeight="true" outlineLevel="0" collapsed="false">
      <c r="A11" s="6" t="s">
        <v>178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B12" s="8" t="s">
        <v>179</v>
      </c>
      <c r="C12" s="14" t="n">
        <f aca="false">ROUND(C9*0.55,0)</f>
        <v>1</v>
      </c>
      <c r="D12" s="14" t="n">
        <f aca="false">ROUND(D9*0.55,0)</f>
        <v>1</v>
      </c>
      <c r="E12" s="14" t="n">
        <f aca="false">ROUND(E9*0.55,0)</f>
        <v>1</v>
      </c>
      <c r="F12" s="14" t="n">
        <f aca="false">ROUND(F9*0.55,0)</f>
        <v>1</v>
      </c>
      <c r="G12" s="14" t="n">
        <f aca="false">ROUND(G9*0.55,0)</f>
        <v>1</v>
      </c>
      <c r="H12" s="14" t="n">
        <f aca="false">ROUND(H9*0.55,0)</f>
        <v>1</v>
      </c>
      <c r="I12" s="14" t="n">
        <f aca="false">ROUND(I9*0.55,0)</f>
        <v>1</v>
      </c>
      <c r="J12" s="14" t="n">
        <f aca="false">ROUND(J9*0.55,0)</f>
        <v>1</v>
      </c>
      <c r="K12" s="14" t="n">
        <f aca="false">ROUND(K9*0.55,0)</f>
        <v>1</v>
      </c>
      <c r="L12" s="14" t="n">
        <f aca="false">ROUND(L9*0.55,0)</f>
        <v>1</v>
      </c>
      <c r="M12" s="14" t="n">
        <f aca="false">ROUND(M9*0.55,0)</f>
        <v>1</v>
      </c>
      <c r="N12" s="14" t="n">
        <f aca="false">ROUND(N9*0.55,0)</f>
        <v>1</v>
      </c>
      <c r="O12" s="14" t="n">
        <f aca="false">ROUND(O9*0.55,0)</f>
        <v>1</v>
      </c>
      <c r="P12" s="14" t="n">
        <f aca="false">ROUND(P9*0.55,0)</f>
        <v>1</v>
      </c>
      <c r="Q12" s="14" t="n">
        <f aca="false">ROUND(Q9*0.55,0)</f>
        <v>1</v>
      </c>
      <c r="R12" s="14" t="n">
        <f aca="false">ROUND(R9*0.55,0)</f>
        <v>1</v>
      </c>
      <c r="S12" s="14" t="n">
        <f aca="false">ROUND(S9*0.55,0)</f>
        <v>1</v>
      </c>
      <c r="T12" s="14" t="n">
        <f aca="false">ROUND(T9*0.55,0)</f>
        <v>1</v>
      </c>
      <c r="U12" s="14" t="n">
        <f aca="false">ROUND(U9*0.55,0)</f>
        <v>2</v>
      </c>
      <c r="V12" s="14" t="n">
        <f aca="false">ROUND(V9*0.55,0)</f>
        <v>2</v>
      </c>
      <c r="W12" s="14" t="n">
        <f aca="false">ROUND(W9*0.55,0)</f>
        <v>2</v>
      </c>
      <c r="X12" s="14" t="n">
        <f aca="false">ROUND(X9*0.55,0)</f>
        <v>2</v>
      </c>
      <c r="Y12" s="14" t="n">
        <f aca="false">ROUND(Y9*0.55,0)</f>
        <v>2</v>
      </c>
      <c r="Z12" s="14" t="n">
        <f aca="false">ROUND(Z9*0.55,0)</f>
        <v>2</v>
      </c>
    </row>
    <row r="13" customFormat="false" ht="15" hidden="false" customHeight="false" outlineLevel="0" collapsed="false">
      <c r="B13" s="8" t="s">
        <v>136</v>
      </c>
      <c r="C13" s="14" t="n">
        <f aca="false">C12</f>
        <v>1</v>
      </c>
      <c r="D13" s="14" t="n">
        <f aca="false">ROUND(C13*(1-Assumpties!$C$17)+D12,0)</f>
        <v>2</v>
      </c>
      <c r="E13" s="14" t="n">
        <f aca="false">ROUND(D13*(1-Assumpties!$C$17)+E12,0)</f>
        <v>3</v>
      </c>
      <c r="F13" s="14" t="n">
        <f aca="false">ROUND(E13*(1-Assumpties!$C$17)+F12,0)</f>
        <v>4</v>
      </c>
      <c r="G13" s="14" t="n">
        <f aca="false">ROUND(F13*(1-Assumpties!$C$17)+G12,0)</f>
        <v>5</v>
      </c>
      <c r="H13" s="14" t="n">
        <f aca="false">ROUND(G13*(1-Assumpties!$C$17)+H12,0)</f>
        <v>6</v>
      </c>
      <c r="I13" s="14" t="n">
        <f aca="false">ROUND(H13*(1-Assumpties!$C$17)+I12,0)</f>
        <v>6</v>
      </c>
      <c r="J13" s="14" t="n">
        <f aca="false">ROUND(I13*(1-Assumpties!$C$17)+J12,0)</f>
        <v>6</v>
      </c>
      <c r="K13" s="14" t="n">
        <f aca="false">ROUND(J13*(1-Assumpties!$C$17)+K12,0)</f>
        <v>6</v>
      </c>
      <c r="L13" s="14" t="n">
        <f aca="false">ROUND(K13*(1-Assumpties!$C$17)+L12,0)</f>
        <v>6</v>
      </c>
      <c r="M13" s="14" t="n">
        <f aca="false">ROUND(L13*(1-Assumpties!$C$17)+M12,0)</f>
        <v>6</v>
      </c>
      <c r="N13" s="14" t="n">
        <f aca="false">ROUND(M13*(1-Assumpties!$C$17)+N12,0)</f>
        <v>6</v>
      </c>
      <c r="O13" s="14" t="n">
        <f aca="false">ROUND(N13*(1-Assumpties!$C$17)+O12,0)</f>
        <v>6</v>
      </c>
      <c r="P13" s="14" t="n">
        <f aca="false">ROUND(O13*(1-Assumpties!$C$17)+P12,0)</f>
        <v>6</v>
      </c>
      <c r="Q13" s="14" t="n">
        <f aca="false">ROUND(P13*(1-Assumpties!$C$17)+Q12,0)</f>
        <v>6</v>
      </c>
      <c r="R13" s="14" t="n">
        <f aca="false">ROUND(Q13*(1-Assumpties!$C$17)+R12,0)</f>
        <v>6</v>
      </c>
      <c r="S13" s="14" t="n">
        <f aca="false">ROUND(R13*(1-Assumpties!$C$17)+S12,0)</f>
        <v>6</v>
      </c>
      <c r="T13" s="14" t="n">
        <f aca="false">ROUND(S13*(1-Assumpties!$C$17)+T12,0)</f>
        <v>6</v>
      </c>
      <c r="U13" s="14" t="n">
        <f aca="false">ROUND(T13*(1-Assumpties!$C$17)+U12,0)</f>
        <v>7</v>
      </c>
      <c r="V13" s="14" t="n">
        <f aca="false">ROUND(U13*(1-Assumpties!$C$17)+V12,0)</f>
        <v>8</v>
      </c>
      <c r="W13" s="14" t="n">
        <f aca="false">ROUND(V13*(1-Assumpties!$C$17)+W12,0)</f>
        <v>9</v>
      </c>
      <c r="X13" s="14" t="n">
        <f aca="false">ROUND(W13*(1-Assumpties!$C$17)+X12,0)</f>
        <v>10</v>
      </c>
      <c r="Y13" s="14" t="n">
        <f aca="false">ROUND(X13*(1-Assumpties!$C$17)+Y12,0)</f>
        <v>11</v>
      </c>
      <c r="Z13" s="14" t="n">
        <f aca="false">ROUND(Y13*(1-Assumpties!$C$17)+Z12,0)</f>
        <v>12</v>
      </c>
    </row>
    <row r="14" customFormat="false" ht="15" hidden="false" customHeight="false" outlineLevel="0" collapsed="false">
      <c r="B14" s="8" t="s">
        <v>180</v>
      </c>
      <c r="C14" s="14" t="n">
        <f aca="false">ROUND(C9*0.3,0)</f>
        <v>0</v>
      </c>
      <c r="D14" s="14" t="n">
        <f aca="false">ROUND(D9*0.3,0)</f>
        <v>0</v>
      </c>
      <c r="E14" s="14" t="n">
        <f aca="false">ROUND(E9*0.3,0)</f>
        <v>0</v>
      </c>
      <c r="F14" s="14" t="n">
        <f aca="false">ROUND(F9*0.3,0)</f>
        <v>0</v>
      </c>
      <c r="G14" s="14" t="n">
        <f aca="false">ROUND(G9*0.3,0)</f>
        <v>0</v>
      </c>
      <c r="H14" s="14" t="n">
        <f aca="false">ROUND(H9*0.3,0)</f>
        <v>0</v>
      </c>
      <c r="I14" s="14" t="n">
        <f aca="false">ROUND(I9*0.3,0)</f>
        <v>0</v>
      </c>
      <c r="J14" s="14" t="n">
        <f aca="false">ROUND(J9*0.3,0)</f>
        <v>0</v>
      </c>
      <c r="K14" s="14" t="n">
        <f aca="false">ROUND(K9*0.3,0)</f>
        <v>0</v>
      </c>
      <c r="L14" s="14" t="n">
        <f aca="false">ROUND(L9*0.3,0)</f>
        <v>0</v>
      </c>
      <c r="M14" s="14" t="n">
        <f aca="false">ROUND(M9*0.3,0)</f>
        <v>0</v>
      </c>
      <c r="N14" s="14" t="n">
        <f aca="false">ROUND(N9*0.3,0)</f>
        <v>1</v>
      </c>
      <c r="O14" s="14" t="n">
        <f aca="false">ROUND(O9*0.3,0)</f>
        <v>1</v>
      </c>
      <c r="P14" s="14" t="n">
        <f aca="false">ROUND(P9*0.3,0)</f>
        <v>1</v>
      </c>
      <c r="Q14" s="14" t="n">
        <f aca="false">ROUND(Q9*0.3,0)</f>
        <v>1</v>
      </c>
      <c r="R14" s="14" t="n">
        <f aca="false">ROUND(R9*0.3,0)</f>
        <v>1</v>
      </c>
      <c r="S14" s="14" t="n">
        <f aca="false">ROUND(S9*0.3,0)</f>
        <v>1</v>
      </c>
      <c r="T14" s="14" t="n">
        <f aca="false">ROUND(T9*0.3,0)</f>
        <v>1</v>
      </c>
      <c r="U14" s="14" t="n">
        <f aca="false">ROUND(U9*0.3,0)</f>
        <v>1</v>
      </c>
      <c r="V14" s="14" t="n">
        <f aca="false">ROUND(V9*0.3,0)</f>
        <v>1</v>
      </c>
      <c r="W14" s="14" t="n">
        <f aca="false">ROUND(W9*0.3,0)</f>
        <v>1</v>
      </c>
      <c r="X14" s="14" t="n">
        <f aca="false">ROUND(X9*0.3,0)</f>
        <v>1</v>
      </c>
      <c r="Y14" s="14" t="n">
        <f aca="false">ROUND(Y9*0.3,0)</f>
        <v>1</v>
      </c>
      <c r="Z14" s="14" t="n">
        <f aca="false">ROUND(Z9*0.3,0)</f>
        <v>1</v>
      </c>
    </row>
    <row r="15" customFormat="false" ht="15" hidden="false" customHeight="false" outlineLevel="0" collapsed="false">
      <c r="B15" s="8" t="s">
        <v>181</v>
      </c>
      <c r="C15" s="14" t="n">
        <f aca="false">C14</f>
        <v>0</v>
      </c>
      <c r="D15" s="14" t="n">
        <f aca="false">ROUND(C15*(1-Assumpties!$C$19)+D14,0)</f>
        <v>0</v>
      </c>
      <c r="E15" s="14" t="n">
        <f aca="false">ROUND(D15*(1-Assumpties!$C$19)+E14,0)</f>
        <v>0</v>
      </c>
      <c r="F15" s="14" t="n">
        <f aca="false">ROUND(E15*(1-Assumpties!$C$19)+F14,0)</f>
        <v>0</v>
      </c>
      <c r="G15" s="14" t="n">
        <f aca="false">ROUND(F15*(1-Assumpties!$C$19)+G14,0)</f>
        <v>0</v>
      </c>
      <c r="H15" s="14" t="n">
        <f aca="false">ROUND(G15*(1-Assumpties!$C$19)+H14,0)</f>
        <v>0</v>
      </c>
      <c r="I15" s="14" t="n">
        <f aca="false">ROUND(H15*(1-Assumpties!$C$19)+I14,0)</f>
        <v>0</v>
      </c>
      <c r="J15" s="14" t="n">
        <f aca="false">ROUND(I15*(1-Assumpties!$C$19)+J14,0)</f>
        <v>0</v>
      </c>
      <c r="K15" s="14" t="n">
        <f aca="false">ROUND(J15*(1-Assumpties!$C$19)+K14,0)</f>
        <v>0</v>
      </c>
      <c r="L15" s="14" t="n">
        <f aca="false">ROUND(K15*(1-Assumpties!$C$19)+L14,0)</f>
        <v>0</v>
      </c>
      <c r="M15" s="14" t="n">
        <f aca="false">ROUND(L15*(1-Assumpties!$C$19)+M14,0)</f>
        <v>0</v>
      </c>
      <c r="N15" s="14" t="n">
        <f aca="false">ROUND(M15*(1-Assumpties!$C$19)+N14,0)</f>
        <v>1</v>
      </c>
      <c r="O15" s="14" t="n">
        <f aca="false">ROUND(N15*(1-Assumpties!$C$19)+O14,0)</f>
        <v>2</v>
      </c>
      <c r="P15" s="14" t="n">
        <f aca="false">ROUND(O15*(1-Assumpties!$C$19)+P14,0)</f>
        <v>3</v>
      </c>
      <c r="Q15" s="14" t="n">
        <f aca="false">ROUND(P15*(1-Assumpties!$C$19)+Q14,0)</f>
        <v>4</v>
      </c>
      <c r="R15" s="14" t="n">
        <f aca="false">ROUND(Q15*(1-Assumpties!$C$19)+R14,0)</f>
        <v>5</v>
      </c>
      <c r="S15" s="14" t="n">
        <f aca="false">ROUND(R15*(1-Assumpties!$C$19)+S14,0)</f>
        <v>6</v>
      </c>
      <c r="T15" s="14" t="n">
        <f aca="false">ROUND(S15*(1-Assumpties!$C$19)+T14,0)</f>
        <v>7</v>
      </c>
      <c r="U15" s="14" t="n">
        <f aca="false">ROUND(T15*(1-Assumpties!$C$19)+U14,0)</f>
        <v>7</v>
      </c>
      <c r="V15" s="14" t="n">
        <f aca="false">ROUND(U15*(1-Assumpties!$C$19)+V14,0)</f>
        <v>7</v>
      </c>
      <c r="W15" s="14" t="n">
        <f aca="false">ROUND(V15*(1-Assumpties!$C$19)+W14,0)</f>
        <v>7</v>
      </c>
      <c r="X15" s="14" t="n">
        <f aca="false">ROUND(W15*(1-Assumpties!$C$19)+X14,0)</f>
        <v>7</v>
      </c>
      <c r="Y15" s="14" t="n">
        <f aca="false">ROUND(X15*(1-Assumpties!$C$19)+Y14,0)</f>
        <v>7</v>
      </c>
      <c r="Z15" s="14" t="n">
        <f aca="false">ROUND(Y15*(1-Assumpties!$C$19)+Z14,0)</f>
        <v>7</v>
      </c>
    </row>
    <row r="16" customFormat="false" ht="15" hidden="false" customHeight="false" outlineLevel="0" collapsed="false">
      <c r="B16" s="8" t="s">
        <v>182</v>
      </c>
      <c r="C16" s="14" t="n">
        <f aca="false">ROUND(C9*0.15,0)</f>
        <v>0</v>
      </c>
      <c r="D16" s="14" t="n">
        <f aca="false">ROUND(D9*0.15,0)</f>
        <v>0</v>
      </c>
      <c r="E16" s="14" t="n">
        <f aca="false">ROUND(E9*0.15,0)</f>
        <v>0</v>
      </c>
      <c r="F16" s="14" t="n">
        <f aca="false">ROUND(F9*0.15,0)</f>
        <v>0</v>
      </c>
      <c r="G16" s="14" t="n">
        <f aca="false">ROUND(G9*0.15,0)</f>
        <v>0</v>
      </c>
      <c r="H16" s="14" t="n">
        <f aca="false">ROUND(H9*0.15,0)</f>
        <v>0</v>
      </c>
      <c r="I16" s="14" t="n">
        <f aca="false">ROUND(I9*0.15,0)</f>
        <v>0</v>
      </c>
      <c r="J16" s="14" t="n">
        <f aca="false">ROUND(J9*0.15,0)</f>
        <v>0</v>
      </c>
      <c r="K16" s="14" t="n">
        <f aca="false">ROUND(K9*0.15,0)</f>
        <v>0</v>
      </c>
      <c r="L16" s="14" t="n">
        <f aca="false">ROUND(L9*0.15,0)</f>
        <v>0</v>
      </c>
      <c r="M16" s="14" t="n">
        <f aca="false">ROUND(M9*0.15,0)</f>
        <v>0</v>
      </c>
      <c r="N16" s="14" t="n">
        <f aca="false">ROUND(N9*0.15,0)</f>
        <v>0</v>
      </c>
      <c r="O16" s="14" t="n">
        <f aca="false">ROUND(O9*0.15,0)</f>
        <v>0</v>
      </c>
      <c r="P16" s="14" t="n">
        <f aca="false">ROUND(P9*0.15,0)</f>
        <v>0</v>
      </c>
      <c r="Q16" s="14" t="n">
        <f aca="false">ROUND(Q9*0.15,0)</f>
        <v>0</v>
      </c>
      <c r="R16" s="14" t="n">
        <f aca="false">ROUND(R9*0.15,0)</f>
        <v>0</v>
      </c>
      <c r="S16" s="14" t="n">
        <f aca="false">ROUND(S9*0.15,0)</f>
        <v>0</v>
      </c>
      <c r="T16" s="14" t="n">
        <f aca="false">ROUND(T9*0.15,0)</f>
        <v>0</v>
      </c>
      <c r="U16" s="14" t="n">
        <f aca="false">ROUND(U9*0.15,0)</f>
        <v>0</v>
      </c>
      <c r="V16" s="14" t="n">
        <f aca="false">ROUND(V9*0.15,0)</f>
        <v>0</v>
      </c>
      <c r="W16" s="14" t="n">
        <f aca="false">ROUND(W9*0.15,0)</f>
        <v>0</v>
      </c>
      <c r="X16" s="14" t="n">
        <f aca="false">ROUND(X9*0.15,0)</f>
        <v>0</v>
      </c>
      <c r="Y16" s="14" t="n">
        <f aca="false">ROUND(Y9*0.15,0)</f>
        <v>1</v>
      </c>
      <c r="Z16" s="14" t="n">
        <f aca="false">ROUND(Z9*0.15,0)</f>
        <v>1</v>
      </c>
    </row>
    <row r="17" customFormat="false" ht="15" hidden="false" customHeight="false" outlineLevel="0" collapsed="false">
      <c r="B17" s="8" t="s">
        <v>138</v>
      </c>
      <c r="C17" s="14" t="n">
        <f aca="false">C16</f>
        <v>0</v>
      </c>
      <c r="D17" s="14" t="n">
        <f aca="false">ROUND(C17*(1-Assumpties!$C$18)+D16,0)</f>
        <v>0</v>
      </c>
      <c r="E17" s="14" t="n">
        <f aca="false">ROUND(D17*(1-Assumpties!$C$18)+E16,0)</f>
        <v>0</v>
      </c>
      <c r="F17" s="14" t="n">
        <f aca="false">ROUND(E17*(1-Assumpties!$C$18)+F16,0)</f>
        <v>0</v>
      </c>
      <c r="G17" s="14" t="n">
        <f aca="false">ROUND(F17*(1-Assumpties!$C$18)+G16,0)</f>
        <v>0</v>
      </c>
      <c r="H17" s="14" t="n">
        <f aca="false">ROUND(G17*(1-Assumpties!$C$18)+H16,0)</f>
        <v>0</v>
      </c>
      <c r="I17" s="14" t="n">
        <f aca="false">ROUND(H17*(1-Assumpties!$C$18)+I16,0)</f>
        <v>0</v>
      </c>
      <c r="J17" s="14" t="n">
        <f aca="false">ROUND(I17*(1-Assumpties!$C$18)+J16,0)</f>
        <v>0</v>
      </c>
      <c r="K17" s="14" t="n">
        <f aca="false">ROUND(J17*(1-Assumpties!$C$18)+K16,0)</f>
        <v>0</v>
      </c>
      <c r="L17" s="14" t="n">
        <f aca="false">ROUND(K17*(1-Assumpties!$C$18)+L16,0)</f>
        <v>0</v>
      </c>
      <c r="M17" s="14" t="n">
        <f aca="false">ROUND(L17*(1-Assumpties!$C$18)+M16,0)</f>
        <v>0</v>
      </c>
      <c r="N17" s="14" t="n">
        <f aca="false">ROUND(M17*(1-Assumpties!$C$18)+N16,0)</f>
        <v>0</v>
      </c>
      <c r="O17" s="14" t="n">
        <f aca="false">ROUND(N17*(1-Assumpties!$C$18)+O16,0)</f>
        <v>0</v>
      </c>
      <c r="P17" s="14" t="n">
        <f aca="false">ROUND(O17*(1-Assumpties!$C$18)+P16,0)</f>
        <v>0</v>
      </c>
      <c r="Q17" s="14" t="n">
        <f aca="false">ROUND(P17*(1-Assumpties!$C$18)+Q16,0)</f>
        <v>0</v>
      </c>
      <c r="R17" s="14" t="n">
        <f aca="false">ROUND(Q17*(1-Assumpties!$C$18)+R16,0)</f>
        <v>0</v>
      </c>
      <c r="S17" s="14" t="n">
        <f aca="false">ROUND(R17*(1-Assumpties!$C$18)+S16,0)</f>
        <v>0</v>
      </c>
      <c r="T17" s="14" t="n">
        <f aca="false">ROUND(S17*(1-Assumpties!$C$18)+T16,0)</f>
        <v>0</v>
      </c>
      <c r="U17" s="14" t="n">
        <f aca="false">ROUND(T17*(1-Assumpties!$C$18)+U16,0)</f>
        <v>0</v>
      </c>
      <c r="V17" s="14" t="n">
        <f aca="false">ROUND(U17*(1-Assumpties!$C$18)+V16,0)</f>
        <v>0</v>
      </c>
      <c r="W17" s="14" t="n">
        <f aca="false">ROUND(V17*(1-Assumpties!$C$18)+W16,0)</f>
        <v>0</v>
      </c>
      <c r="X17" s="14" t="n">
        <f aca="false">ROUND(W17*(1-Assumpties!$C$18)+X16,0)</f>
        <v>0</v>
      </c>
      <c r="Y17" s="14" t="n">
        <f aca="false">ROUND(X17*(1-Assumpties!$C$18)+Y16,0)</f>
        <v>1</v>
      </c>
      <c r="Z17" s="14" t="n">
        <f aca="false">ROUND(Y17*(1-Assumpties!$C$18)+Z16,0)</f>
        <v>2</v>
      </c>
    </row>
    <row r="19" customFormat="false" ht="18" hidden="false" customHeight="true" outlineLevel="0" collapsed="false">
      <c r="A19" s="6" t="s">
        <v>183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B20" s="8" t="s">
        <v>140</v>
      </c>
      <c r="C20" s="15" t="n">
        <f aca="false">C13*Assumpties!$C$24</f>
        <v>21.99</v>
      </c>
      <c r="D20" s="15" t="n">
        <f aca="false">D13*Assumpties!$C$24</f>
        <v>43.98</v>
      </c>
      <c r="E20" s="15" t="n">
        <f aca="false">E13*Assumpties!$C$24</f>
        <v>65.97</v>
      </c>
      <c r="F20" s="15" t="n">
        <f aca="false">F13*Assumpties!$C$24</f>
        <v>87.96</v>
      </c>
      <c r="G20" s="15" t="n">
        <f aca="false">G13*Assumpties!$C$24</f>
        <v>109.95</v>
      </c>
      <c r="H20" s="15" t="n">
        <f aca="false">H13*Assumpties!$C$24</f>
        <v>131.94</v>
      </c>
      <c r="I20" s="15" t="n">
        <f aca="false">I13*Assumpties!$C$24</f>
        <v>131.94</v>
      </c>
      <c r="J20" s="15" t="n">
        <f aca="false">J13*Assumpties!$C$24</f>
        <v>131.94</v>
      </c>
      <c r="K20" s="15" t="n">
        <f aca="false">K13*Assumpties!$C$24</f>
        <v>131.94</v>
      </c>
      <c r="L20" s="15" t="n">
        <f aca="false">L13*Assumpties!$C$24</f>
        <v>131.94</v>
      </c>
      <c r="M20" s="15" t="n">
        <f aca="false">M13*Assumpties!$C$24</f>
        <v>131.94</v>
      </c>
      <c r="N20" s="15" t="n">
        <f aca="false">N13*Assumpties!$C$24</f>
        <v>131.94</v>
      </c>
      <c r="O20" s="15" t="n">
        <f aca="false">O13*Assumpties!$C$24</f>
        <v>131.94</v>
      </c>
      <c r="P20" s="15" t="n">
        <f aca="false">P13*Assumpties!$C$24</f>
        <v>131.94</v>
      </c>
      <c r="Q20" s="15" t="n">
        <f aca="false">Q13*Assumpties!$C$24</f>
        <v>131.94</v>
      </c>
      <c r="R20" s="15" t="n">
        <f aca="false">R13*Assumpties!$C$24</f>
        <v>131.94</v>
      </c>
      <c r="S20" s="15" t="n">
        <f aca="false">S13*Assumpties!$C$24</f>
        <v>131.94</v>
      </c>
      <c r="T20" s="15" t="n">
        <f aca="false">T13*Assumpties!$C$24</f>
        <v>131.94</v>
      </c>
      <c r="U20" s="15" t="n">
        <f aca="false">U13*Assumpties!$C$24</f>
        <v>153.93</v>
      </c>
      <c r="V20" s="15" t="n">
        <f aca="false">V13*Assumpties!$C$24</f>
        <v>175.92</v>
      </c>
      <c r="W20" s="15" t="n">
        <f aca="false">W13*Assumpties!$C$24</f>
        <v>197.91</v>
      </c>
      <c r="X20" s="15" t="n">
        <f aca="false">X13*Assumpties!$C$24</f>
        <v>219.9</v>
      </c>
      <c r="Y20" s="15" t="n">
        <f aca="false">Y13*Assumpties!$C$24</f>
        <v>241.89</v>
      </c>
      <c r="Z20" s="15" t="n">
        <f aca="false">Z13*Assumpties!$C$24</f>
        <v>263.88</v>
      </c>
    </row>
    <row r="21" customFormat="false" ht="15" hidden="false" customHeight="false" outlineLevel="0" collapsed="false">
      <c r="B21" s="8" t="s">
        <v>184</v>
      </c>
      <c r="C21" s="15" t="n">
        <f aca="false">C15*Assumpties!$C$26</f>
        <v>0</v>
      </c>
      <c r="D21" s="15" t="n">
        <f aca="false">D15*Assumpties!$C$26</f>
        <v>0</v>
      </c>
      <c r="E21" s="15" t="n">
        <f aca="false">E15*Assumpties!$C$26</f>
        <v>0</v>
      </c>
      <c r="F21" s="15" t="n">
        <f aca="false">F15*Assumpties!$C$26</f>
        <v>0</v>
      </c>
      <c r="G21" s="15" t="n">
        <f aca="false">G15*Assumpties!$C$26</f>
        <v>0</v>
      </c>
      <c r="H21" s="15" t="n">
        <f aca="false">H15*Assumpties!$C$26</f>
        <v>0</v>
      </c>
      <c r="I21" s="15" t="n">
        <f aca="false">I15*Assumpties!$C$26</f>
        <v>0</v>
      </c>
      <c r="J21" s="15" t="n">
        <f aca="false">J15*Assumpties!$C$26</f>
        <v>0</v>
      </c>
      <c r="K21" s="15" t="n">
        <f aca="false">K15*Assumpties!$C$26</f>
        <v>0</v>
      </c>
      <c r="L21" s="15" t="n">
        <f aca="false">L15*Assumpties!$C$26</f>
        <v>0</v>
      </c>
      <c r="M21" s="15" t="n">
        <f aca="false">M15*Assumpties!$C$26</f>
        <v>0</v>
      </c>
      <c r="N21" s="15" t="n">
        <f aca="false">N15*Assumpties!$C$26</f>
        <v>49</v>
      </c>
      <c r="O21" s="15" t="n">
        <f aca="false">O15*Assumpties!$C$26</f>
        <v>98</v>
      </c>
      <c r="P21" s="15" t="n">
        <f aca="false">P15*Assumpties!$C$26</f>
        <v>147</v>
      </c>
      <c r="Q21" s="15" t="n">
        <f aca="false">Q15*Assumpties!$C$26</f>
        <v>196</v>
      </c>
      <c r="R21" s="15" t="n">
        <f aca="false">R15*Assumpties!$C$26</f>
        <v>245</v>
      </c>
      <c r="S21" s="15" t="n">
        <f aca="false">S15*Assumpties!$C$26</f>
        <v>294</v>
      </c>
      <c r="T21" s="15" t="n">
        <f aca="false">T15*Assumpties!$C$26</f>
        <v>343</v>
      </c>
      <c r="U21" s="15" t="n">
        <f aca="false">U15*Assumpties!$C$26</f>
        <v>343</v>
      </c>
      <c r="V21" s="15" t="n">
        <f aca="false">V15*Assumpties!$C$26</f>
        <v>343</v>
      </c>
      <c r="W21" s="15" t="n">
        <f aca="false">W15*Assumpties!$C$26</f>
        <v>343</v>
      </c>
      <c r="X21" s="15" t="n">
        <f aca="false">X15*Assumpties!$C$26</f>
        <v>343</v>
      </c>
      <c r="Y21" s="15" t="n">
        <f aca="false">Y15*Assumpties!$C$26</f>
        <v>343</v>
      </c>
      <c r="Z21" s="15" t="n">
        <f aca="false">Z15*Assumpties!$C$26</f>
        <v>343</v>
      </c>
    </row>
    <row r="22" customFormat="false" ht="15" hidden="false" customHeight="false" outlineLevel="0" collapsed="false">
      <c r="B22" s="8" t="s">
        <v>141</v>
      </c>
      <c r="C22" s="15" t="n">
        <f aca="false">C17*Assumpties!$C$25</f>
        <v>0</v>
      </c>
      <c r="D22" s="15" t="n">
        <f aca="false">D17*Assumpties!$C$25</f>
        <v>0</v>
      </c>
      <c r="E22" s="15" t="n">
        <f aca="false">E17*Assumpties!$C$25</f>
        <v>0</v>
      </c>
      <c r="F22" s="15" t="n">
        <f aca="false">F17*Assumpties!$C$25</f>
        <v>0</v>
      </c>
      <c r="G22" s="15" t="n">
        <f aca="false">G17*Assumpties!$C$25</f>
        <v>0</v>
      </c>
      <c r="H22" s="15" t="n">
        <f aca="false">H17*Assumpties!$C$25</f>
        <v>0</v>
      </c>
      <c r="I22" s="15" t="n">
        <f aca="false">I17*Assumpties!$C$25</f>
        <v>0</v>
      </c>
      <c r="J22" s="15" t="n">
        <f aca="false">J17*Assumpties!$C$25</f>
        <v>0</v>
      </c>
      <c r="K22" s="15" t="n">
        <f aca="false">K17*Assumpties!$C$25</f>
        <v>0</v>
      </c>
      <c r="L22" s="15" t="n">
        <f aca="false">L17*Assumpties!$C$25</f>
        <v>0</v>
      </c>
      <c r="M22" s="15" t="n">
        <f aca="false">M17*Assumpties!$C$25</f>
        <v>0</v>
      </c>
      <c r="N22" s="15" t="n">
        <f aca="false">N17*Assumpties!$C$25</f>
        <v>0</v>
      </c>
      <c r="O22" s="15" t="n">
        <f aca="false">O17*Assumpties!$C$25</f>
        <v>0</v>
      </c>
      <c r="P22" s="15" t="n">
        <f aca="false">P17*Assumpties!$C$25</f>
        <v>0</v>
      </c>
      <c r="Q22" s="15" t="n">
        <f aca="false">Q17*Assumpties!$C$25</f>
        <v>0</v>
      </c>
      <c r="R22" s="15" t="n">
        <f aca="false">R17*Assumpties!$C$25</f>
        <v>0</v>
      </c>
      <c r="S22" s="15" t="n">
        <f aca="false">S17*Assumpties!$C$25</f>
        <v>0</v>
      </c>
      <c r="T22" s="15" t="n">
        <f aca="false">T17*Assumpties!$C$25</f>
        <v>0</v>
      </c>
      <c r="U22" s="15" t="n">
        <f aca="false">U17*Assumpties!$C$25</f>
        <v>0</v>
      </c>
      <c r="V22" s="15" t="n">
        <f aca="false">V17*Assumpties!$C$25</f>
        <v>0</v>
      </c>
      <c r="W22" s="15" t="n">
        <f aca="false">W17*Assumpties!$C$25</f>
        <v>0</v>
      </c>
      <c r="X22" s="15" t="n">
        <f aca="false">X17*Assumpties!$C$25</f>
        <v>0</v>
      </c>
      <c r="Y22" s="15" t="n">
        <f aca="false">Y17*Assumpties!$C$25</f>
        <v>200</v>
      </c>
      <c r="Z22" s="15" t="n">
        <f aca="false">Z17*Assumpties!$C$25</f>
        <v>400</v>
      </c>
    </row>
    <row r="23" customFormat="false" ht="15" hidden="false" customHeight="false" outlineLevel="0" collapsed="false">
      <c r="B23" s="4" t="s">
        <v>142</v>
      </c>
      <c r="C23" s="16" t="n">
        <f aca="false">C20+C21+C22</f>
        <v>21.99</v>
      </c>
      <c r="D23" s="16" t="n">
        <f aca="false">D20+D21+D22</f>
        <v>43.98</v>
      </c>
      <c r="E23" s="16" t="n">
        <f aca="false">E20+E21+E22</f>
        <v>65.97</v>
      </c>
      <c r="F23" s="16" t="n">
        <f aca="false">F20+F21+F22</f>
        <v>87.96</v>
      </c>
      <c r="G23" s="16" t="n">
        <f aca="false">G20+G21+G22</f>
        <v>109.95</v>
      </c>
      <c r="H23" s="16" t="n">
        <f aca="false">H20+H21+H22</f>
        <v>131.94</v>
      </c>
      <c r="I23" s="16" t="n">
        <f aca="false">I20+I21+I22</f>
        <v>131.94</v>
      </c>
      <c r="J23" s="16" t="n">
        <f aca="false">J20+J21+J22</f>
        <v>131.94</v>
      </c>
      <c r="K23" s="16" t="n">
        <f aca="false">K20+K21+K22</f>
        <v>131.94</v>
      </c>
      <c r="L23" s="16" t="n">
        <f aca="false">L20+L21+L22</f>
        <v>131.94</v>
      </c>
      <c r="M23" s="16" t="n">
        <f aca="false">M20+M21+M22</f>
        <v>131.94</v>
      </c>
      <c r="N23" s="16" t="n">
        <f aca="false">N20+N21+N22</f>
        <v>180.94</v>
      </c>
      <c r="O23" s="16" t="n">
        <f aca="false">O20+O21+O22</f>
        <v>229.94</v>
      </c>
      <c r="P23" s="16" t="n">
        <f aca="false">P20+P21+P22</f>
        <v>278.94</v>
      </c>
      <c r="Q23" s="16" t="n">
        <f aca="false">Q20+Q21+Q22</f>
        <v>327.94</v>
      </c>
      <c r="R23" s="16" t="n">
        <f aca="false">R20+R21+R22</f>
        <v>376.94</v>
      </c>
      <c r="S23" s="16" t="n">
        <f aca="false">S20+S21+S22</f>
        <v>425.94</v>
      </c>
      <c r="T23" s="16" t="n">
        <f aca="false">T20+T21+T22</f>
        <v>474.94</v>
      </c>
      <c r="U23" s="16" t="n">
        <f aca="false">U20+U21+U22</f>
        <v>496.93</v>
      </c>
      <c r="V23" s="16" t="n">
        <f aca="false">V20+V21+V22</f>
        <v>518.92</v>
      </c>
      <c r="W23" s="16" t="n">
        <f aca="false">W20+W21+W22</f>
        <v>540.91</v>
      </c>
      <c r="X23" s="16" t="n">
        <f aca="false">X20+X21+X22</f>
        <v>562.9</v>
      </c>
      <c r="Y23" s="16" t="n">
        <f aca="false">Y20+Y21+Y22</f>
        <v>784.89</v>
      </c>
      <c r="Z23" s="16" t="n">
        <f aca="false">Z20+Z21+Z22</f>
        <v>1006.88</v>
      </c>
    </row>
    <row r="24" customFormat="false" ht="15" hidden="false" customHeight="false" outlineLevel="0" collapsed="false">
      <c r="B24" s="8" t="s">
        <v>143</v>
      </c>
      <c r="C24" s="15" t="n">
        <f aca="false">C23</f>
        <v>21.99</v>
      </c>
      <c r="D24" s="15" t="n">
        <f aca="false">C24+D23</f>
        <v>65.97</v>
      </c>
      <c r="E24" s="15" t="n">
        <f aca="false">D24+E23</f>
        <v>131.94</v>
      </c>
      <c r="F24" s="15" t="n">
        <f aca="false">E24+F23</f>
        <v>219.9</v>
      </c>
      <c r="G24" s="15" t="n">
        <f aca="false">F24+G23</f>
        <v>329.85</v>
      </c>
      <c r="H24" s="15" t="n">
        <f aca="false">G24+H23</f>
        <v>461.79</v>
      </c>
      <c r="I24" s="15" t="n">
        <f aca="false">H24+I23</f>
        <v>593.73</v>
      </c>
      <c r="J24" s="15" t="n">
        <f aca="false">I24+J23</f>
        <v>725.67</v>
      </c>
      <c r="K24" s="15" t="n">
        <f aca="false">J24+K23</f>
        <v>857.61</v>
      </c>
      <c r="L24" s="15" t="n">
        <f aca="false">K24+L23</f>
        <v>989.55</v>
      </c>
      <c r="M24" s="15" t="n">
        <f aca="false">L24+M23</f>
        <v>1121.49</v>
      </c>
      <c r="N24" s="15" t="n">
        <f aca="false">M24+N23</f>
        <v>1302.43</v>
      </c>
      <c r="O24" s="15" t="n">
        <f aca="false">N24+O23</f>
        <v>1532.37</v>
      </c>
      <c r="P24" s="15" t="n">
        <f aca="false">O24+P23</f>
        <v>1811.31</v>
      </c>
      <c r="Q24" s="15" t="n">
        <f aca="false">P24+Q23</f>
        <v>2139.25</v>
      </c>
      <c r="R24" s="15" t="n">
        <f aca="false">Q24+R23</f>
        <v>2516.19</v>
      </c>
      <c r="S24" s="15" t="n">
        <f aca="false">R24+S23</f>
        <v>2942.13</v>
      </c>
      <c r="T24" s="15" t="n">
        <f aca="false">S24+T23</f>
        <v>3417.07</v>
      </c>
      <c r="U24" s="15" t="n">
        <f aca="false">T24+U23</f>
        <v>3914</v>
      </c>
      <c r="V24" s="15" t="n">
        <f aca="false">U24+V23</f>
        <v>4432.92</v>
      </c>
      <c r="W24" s="15" t="n">
        <f aca="false">V24+W23</f>
        <v>4973.83</v>
      </c>
      <c r="X24" s="15" t="n">
        <f aca="false">W24+X23</f>
        <v>5536.73</v>
      </c>
      <c r="Y24" s="15" t="n">
        <f aca="false">X24+Y23</f>
        <v>6321.62</v>
      </c>
      <c r="Z24" s="15" t="n">
        <f aca="false">Y24+Z23</f>
        <v>7328.5</v>
      </c>
    </row>
    <row r="26" customFormat="false" ht="18" hidden="false" customHeight="true" outlineLevel="0" collapsed="false">
      <c r="A26" s="6" t="s">
        <v>166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B27" s="8" t="s">
        <v>145</v>
      </c>
      <c r="C27" s="15" t="n">
        <f aca="false">C23*Assumpties!$C$33+(C13+C15+C17)*Assumpties!$C$34</f>
        <v>0.88771</v>
      </c>
      <c r="D27" s="15" t="n">
        <f aca="false">D23*Assumpties!$C$33+(D13+D15+D17)*Assumpties!$C$34</f>
        <v>1.77542</v>
      </c>
      <c r="E27" s="15" t="n">
        <f aca="false">E23*Assumpties!$C$33+(E13+E15+E17)*Assumpties!$C$34</f>
        <v>2.66313</v>
      </c>
      <c r="F27" s="15" t="n">
        <f aca="false">F23*Assumpties!$C$33+(F13+F15+F17)*Assumpties!$C$34</f>
        <v>3.55084</v>
      </c>
      <c r="G27" s="15" t="n">
        <f aca="false">G23*Assumpties!$C$33+(G13+G15+G17)*Assumpties!$C$34</f>
        <v>4.43855</v>
      </c>
      <c r="H27" s="15" t="n">
        <f aca="false">H23*Assumpties!$C$33+(H13+H15+H17)*Assumpties!$C$34</f>
        <v>5.32626</v>
      </c>
      <c r="I27" s="15" t="n">
        <f aca="false">I23*Assumpties!$C$33+(I13+I15+I17)*Assumpties!$C$34</f>
        <v>5.32626</v>
      </c>
      <c r="J27" s="15" t="n">
        <f aca="false">J23*Assumpties!$C$33+(J13+J15+J17)*Assumpties!$C$34</f>
        <v>5.32626</v>
      </c>
      <c r="K27" s="15" t="n">
        <f aca="false">K23*Assumpties!$C$33+(K13+K15+K17)*Assumpties!$C$34</f>
        <v>5.32626</v>
      </c>
      <c r="L27" s="15" t="n">
        <f aca="false">L23*Assumpties!$C$33+(L13+L15+L17)*Assumpties!$C$34</f>
        <v>5.32626</v>
      </c>
      <c r="M27" s="15" t="n">
        <f aca="false">M23*Assumpties!$C$33+(M13+M15+M17)*Assumpties!$C$34</f>
        <v>5.32626</v>
      </c>
      <c r="N27" s="15" t="n">
        <f aca="false">N23*Assumpties!$C$33+(N13+N15+N17)*Assumpties!$C$34</f>
        <v>6.99726</v>
      </c>
      <c r="O27" s="15" t="n">
        <f aca="false">O23*Assumpties!$C$33+(O13+O15+O17)*Assumpties!$C$34</f>
        <v>8.66826</v>
      </c>
      <c r="P27" s="15" t="n">
        <f aca="false">P23*Assumpties!$C$33+(P13+P15+P17)*Assumpties!$C$34</f>
        <v>10.33926</v>
      </c>
      <c r="Q27" s="15" t="n">
        <f aca="false">Q23*Assumpties!$C$33+(Q13+Q15+Q17)*Assumpties!$C$34</f>
        <v>12.01026</v>
      </c>
      <c r="R27" s="15" t="n">
        <f aca="false">R23*Assumpties!$C$33+(R13+R15+R17)*Assumpties!$C$34</f>
        <v>13.68126</v>
      </c>
      <c r="S27" s="15" t="n">
        <f aca="false">S23*Assumpties!$C$33+(S13+S15+S17)*Assumpties!$C$34</f>
        <v>15.35226</v>
      </c>
      <c r="T27" s="15" t="n">
        <f aca="false">T23*Assumpties!$C$33+(T13+T15+T17)*Assumpties!$C$34</f>
        <v>17.02326</v>
      </c>
      <c r="U27" s="15" t="n">
        <f aca="false">U23*Assumpties!$C$33+(U13+U15+U17)*Assumpties!$C$34</f>
        <v>17.91097</v>
      </c>
      <c r="V27" s="15" t="n">
        <f aca="false">V23*Assumpties!$C$33+(V13+V15+V17)*Assumpties!$C$34</f>
        <v>18.79868</v>
      </c>
      <c r="W27" s="15" t="n">
        <f aca="false">W23*Assumpties!$C$33+(W13+W15+W17)*Assumpties!$C$34</f>
        <v>19.68639</v>
      </c>
      <c r="X27" s="15" t="n">
        <f aca="false">X23*Assumpties!$C$33+(X13+X15+X17)*Assumpties!$C$34</f>
        <v>20.5741</v>
      </c>
      <c r="Y27" s="15" t="n">
        <f aca="false">Y23*Assumpties!$C$33+(Y13+Y15+Y17)*Assumpties!$C$34</f>
        <v>27.51181</v>
      </c>
      <c r="Z27" s="15" t="n">
        <f aca="false">Z23*Assumpties!$C$33+(Z13+Z15+Z17)*Assumpties!$C$34</f>
        <v>34.44952</v>
      </c>
    </row>
    <row r="28" customFormat="false" ht="15" hidden="false" customHeight="false" outlineLevel="0" collapsed="false">
      <c r="B28" s="8" t="s">
        <v>167</v>
      </c>
      <c r="C28" s="15" t="n">
        <f aca="false">(C13+C15)*Assumpties!$C$36+C17*Assumpties!$C$37</f>
        <v>0.5</v>
      </c>
      <c r="D28" s="15" t="n">
        <f aca="false">(D13+D15)*Assumpties!$C$36+D17*Assumpties!$C$37</f>
        <v>1</v>
      </c>
      <c r="E28" s="15" t="n">
        <f aca="false">(E13+E15)*Assumpties!$C$36+E17*Assumpties!$C$37</f>
        <v>1.5</v>
      </c>
      <c r="F28" s="15" t="n">
        <f aca="false">(F13+F15)*Assumpties!$C$36+F17*Assumpties!$C$37</f>
        <v>2</v>
      </c>
      <c r="G28" s="15" t="n">
        <f aca="false">(G13+G15)*Assumpties!$C$36+G17*Assumpties!$C$37</f>
        <v>2.5</v>
      </c>
      <c r="H28" s="15" t="n">
        <f aca="false">(H13+H15)*Assumpties!$C$36+H17*Assumpties!$C$37</f>
        <v>3</v>
      </c>
      <c r="I28" s="15" t="n">
        <f aca="false">(I13+I15)*Assumpties!$C$36+I17*Assumpties!$C$37</f>
        <v>3</v>
      </c>
      <c r="J28" s="15" t="n">
        <f aca="false">(J13+J15)*Assumpties!$C$36+J17*Assumpties!$C$37</f>
        <v>3</v>
      </c>
      <c r="K28" s="15" t="n">
        <f aca="false">(K13+K15)*Assumpties!$C$36+K17*Assumpties!$C$37</f>
        <v>3</v>
      </c>
      <c r="L28" s="15" t="n">
        <f aca="false">(L13+L15)*Assumpties!$C$36+L17*Assumpties!$C$37</f>
        <v>3</v>
      </c>
      <c r="M28" s="15" t="n">
        <f aca="false">(M13+M15)*Assumpties!$C$36+M17*Assumpties!$C$37</f>
        <v>3</v>
      </c>
      <c r="N28" s="15" t="n">
        <f aca="false">(N13+N15)*Assumpties!$C$36+N17*Assumpties!$C$37</f>
        <v>3.5</v>
      </c>
      <c r="O28" s="15" t="n">
        <f aca="false">(O13+O15)*Assumpties!$C$36+O17*Assumpties!$C$37</f>
        <v>4</v>
      </c>
      <c r="P28" s="15" t="n">
        <f aca="false">(P13+P15)*Assumpties!$C$36+P17*Assumpties!$C$37</f>
        <v>4.5</v>
      </c>
      <c r="Q28" s="15" t="n">
        <f aca="false">(Q13+Q15)*Assumpties!$C$36+Q17*Assumpties!$C$37</f>
        <v>5</v>
      </c>
      <c r="R28" s="15" t="n">
        <f aca="false">(R13+R15)*Assumpties!$C$36+R17*Assumpties!$C$37</f>
        <v>5.5</v>
      </c>
      <c r="S28" s="15" t="n">
        <f aca="false">(S13+S15)*Assumpties!$C$36+S17*Assumpties!$C$37</f>
        <v>6</v>
      </c>
      <c r="T28" s="15" t="n">
        <f aca="false">(T13+T15)*Assumpties!$C$36+T17*Assumpties!$C$37</f>
        <v>6.5</v>
      </c>
      <c r="U28" s="15" t="n">
        <f aca="false">(U13+U15)*Assumpties!$C$36+U17*Assumpties!$C$37</f>
        <v>7</v>
      </c>
      <c r="V28" s="15" t="n">
        <f aca="false">(V13+V15)*Assumpties!$C$36+V17*Assumpties!$C$37</f>
        <v>7.5</v>
      </c>
      <c r="W28" s="15" t="n">
        <f aca="false">(W13+W15)*Assumpties!$C$36+W17*Assumpties!$C$37</f>
        <v>8</v>
      </c>
      <c r="X28" s="15" t="n">
        <f aca="false">(X13+X15)*Assumpties!$C$36+X17*Assumpties!$C$37</f>
        <v>8.5</v>
      </c>
      <c r="Y28" s="15" t="n">
        <f aca="false">(Y13+Y15)*Assumpties!$C$36+Y17*Assumpties!$C$37</f>
        <v>14</v>
      </c>
      <c r="Z28" s="15" t="n">
        <f aca="false">(Z13+Z15)*Assumpties!$C$36+Z17*Assumpties!$C$37</f>
        <v>19.5</v>
      </c>
    </row>
    <row r="29" customFormat="false" ht="15" hidden="false" customHeight="false" outlineLevel="0" collapsed="false">
      <c r="B29" s="8" t="s">
        <v>147</v>
      </c>
      <c r="C29" s="15" t="n">
        <f aca="false">Assumpties!$C$35</f>
        <v>25</v>
      </c>
      <c r="D29" s="15" t="n">
        <f aca="false">Assumpties!$C$35</f>
        <v>25</v>
      </c>
      <c r="E29" s="15" t="n">
        <f aca="false">Assumpties!$C$35</f>
        <v>25</v>
      </c>
      <c r="F29" s="15" t="n">
        <f aca="false">Assumpties!$C$35</f>
        <v>25</v>
      </c>
      <c r="G29" s="15" t="n">
        <f aca="false">Assumpties!$C$35</f>
        <v>25</v>
      </c>
      <c r="H29" s="15" t="n">
        <f aca="false">Assumpties!$C$35</f>
        <v>25</v>
      </c>
      <c r="I29" s="15" t="n">
        <f aca="false">Assumpties!$C$35</f>
        <v>25</v>
      </c>
      <c r="J29" s="15" t="n">
        <f aca="false">Assumpties!$C$35</f>
        <v>25</v>
      </c>
      <c r="K29" s="15" t="n">
        <f aca="false">Assumpties!$C$35</f>
        <v>25</v>
      </c>
      <c r="L29" s="15" t="n">
        <f aca="false">Assumpties!$C$35</f>
        <v>25</v>
      </c>
      <c r="M29" s="15" t="n">
        <f aca="false">Assumpties!$C$35</f>
        <v>25</v>
      </c>
      <c r="N29" s="15" t="n">
        <f aca="false">Assumpties!$C$35</f>
        <v>25</v>
      </c>
      <c r="O29" s="15" t="n">
        <f aca="false">Assumpties!$C$35</f>
        <v>25</v>
      </c>
      <c r="P29" s="15" t="n">
        <f aca="false">Assumpties!$C$35</f>
        <v>25</v>
      </c>
      <c r="Q29" s="15" t="n">
        <f aca="false">Assumpties!$C$35</f>
        <v>25</v>
      </c>
      <c r="R29" s="15" t="n">
        <f aca="false">Assumpties!$C$35</f>
        <v>25</v>
      </c>
      <c r="S29" s="15" t="n">
        <f aca="false">Assumpties!$C$35</f>
        <v>25</v>
      </c>
      <c r="T29" s="15" t="n">
        <f aca="false">Assumpties!$C$35</f>
        <v>25</v>
      </c>
      <c r="U29" s="15" t="n">
        <f aca="false">Assumpties!$C$35</f>
        <v>25</v>
      </c>
      <c r="V29" s="15" t="n">
        <f aca="false">Assumpties!$C$35</f>
        <v>25</v>
      </c>
      <c r="W29" s="15" t="n">
        <f aca="false">Assumpties!$C$35</f>
        <v>25</v>
      </c>
      <c r="X29" s="15" t="n">
        <f aca="false">Assumpties!$C$35</f>
        <v>25</v>
      </c>
      <c r="Y29" s="15" t="n">
        <f aca="false">Assumpties!$C$35</f>
        <v>25</v>
      </c>
      <c r="Z29" s="15" t="n">
        <f aca="false">Assumpties!$C$35</f>
        <v>25</v>
      </c>
    </row>
    <row r="30" customFormat="false" ht="15" hidden="false" customHeight="false" outlineLevel="0" collapsed="false">
      <c r="B30" s="8" t="s">
        <v>168</v>
      </c>
      <c r="C30" s="15" t="n">
        <f aca="false">C9*Assumpties!$C$38</f>
        <v>8</v>
      </c>
      <c r="D30" s="15" t="n">
        <f aca="false">D9*Assumpties!$C$38</f>
        <v>8</v>
      </c>
      <c r="E30" s="15" t="n">
        <f aca="false">E9*Assumpties!$C$38</f>
        <v>8</v>
      </c>
      <c r="F30" s="15" t="n">
        <f aca="false">F9*Assumpties!$C$38</f>
        <v>8</v>
      </c>
      <c r="G30" s="15" t="n">
        <f aca="false">G9*Assumpties!$C$38</f>
        <v>8</v>
      </c>
      <c r="H30" s="15" t="n">
        <f aca="false">H9*Assumpties!$C$38</f>
        <v>8</v>
      </c>
      <c r="I30" s="15" t="n">
        <f aca="false">I9*Assumpties!$C$38</f>
        <v>8</v>
      </c>
      <c r="J30" s="15" t="n">
        <f aca="false">J9*Assumpties!$C$38</f>
        <v>8</v>
      </c>
      <c r="K30" s="15" t="n">
        <f aca="false">K9*Assumpties!$C$38</f>
        <v>8</v>
      </c>
      <c r="L30" s="15" t="n">
        <f aca="false">L9*Assumpties!$C$38</f>
        <v>8</v>
      </c>
      <c r="M30" s="15" t="n">
        <f aca="false">M9*Assumpties!$C$38</f>
        <v>8</v>
      </c>
      <c r="N30" s="15" t="n">
        <f aca="false">N9*Assumpties!$C$38</f>
        <v>16</v>
      </c>
      <c r="O30" s="15" t="n">
        <f aca="false">O9*Assumpties!$C$38</f>
        <v>16</v>
      </c>
      <c r="P30" s="15" t="n">
        <f aca="false">P9*Assumpties!$C$38</f>
        <v>16</v>
      </c>
      <c r="Q30" s="15" t="n">
        <f aca="false">Q9*Assumpties!$C$38</f>
        <v>16</v>
      </c>
      <c r="R30" s="15" t="n">
        <f aca="false">R9*Assumpties!$C$38</f>
        <v>16</v>
      </c>
      <c r="S30" s="15" t="n">
        <f aca="false">S9*Assumpties!$C$38</f>
        <v>16</v>
      </c>
      <c r="T30" s="15" t="n">
        <f aca="false">T9*Assumpties!$C$38</f>
        <v>16</v>
      </c>
      <c r="U30" s="15" t="n">
        <f aca="false">U9*Assumpties!$C$38</f>
        <v>24</v>
      </c>
      <c r="V30" s="15" t="n">
        <f aca="false">V9*Assumpties!$C$38</f>
        <v>24</v>
      </c>
      <c r="W30" s="15" t="n">
        <f aca="false">W9*Assumpties!$C$38</f>
        <v>24</v>
      </c>
      <c r="X30" s="15" t="n">
        <f aca="false">X9*Assumpties!$C$38</f>
        <v>24</v>
      </c>
      <c r="Y30" s="15" t="n">
        <f aca="false">Y9*Assumpties!$C$38</f>
        <v>32</v>
      </c>
      <c r="Z30" s="15" t="n">
        <f aca="false">Z9*Assumpties!$C$38</f>
        <v>32</v>
      </c>
    </row>
    <row r="31" customFormat="false" ht="15" hidden="false" customHeight="false" outlineLevel="0" collapsed="false">
      <c r="B31" s="4" t="s">
        <v>149</v>
      </c>
      <c r="C31" s="16" t="n">
        <f aca="false">C23-C27-C28-C29-C30</f>
        <v>-12.39771</v>
      </c>
      <c r="D31" s="16" t="n">
        <f aca="false">D23-D27-D28-D29-D30</f>
        <v>8.20458</v>
      </c>
      <c r="E31" s="16" t="n">
        <f aca="false">E23-E27-E28-E29-E30</f>
        <v>28.80687</v>
      </c>
      <c r="F31" s="16" t="n">
        <f aca="false">F23-F27-F28-F29-F30</f>
        <v>49.40916</v>
      </c>
      <c r="G31" s="16" t="n">
        <f aca="false">G23-G27-G28-G29-G30</f>
        <v>70.01145</v>
      </c>
      <c r="H31" s="16" t="n">
        <f aca="false">H23-H27-H28-H29-H30</f>
        <v>90.61374</v>
      </c>
      <c r="I31" s="16" t="n">
        <f aca="false">I23-I27-I28-I29-I30</f>
        <v>90.61374</v>
      </c>
      <c r="J31" s="16" t="n">
        <f aca="false">J23-J27-J28-J29-J30</f>
        <v>90.61374</v>
      </c>
      <c r="K31" s="16" t="n">
        <f aca="false">K23-K27-K28-K29-K30</f>
        <v>90.61374</v>
      </c>
      <c r="L31" s="16" t="n">
        <f aca="false">L23-L27-L28-L29-L30</f>
        <v>90.61374</v>
      </c>
      <c r="M31" s="16" t="n">
        <f aca="false">M23-M27-M28-M29-M30</f>
        <v>90.61374</v>
      </c>
      <c r="N31" s="16" t="n">
        <f aca="false">N23-N27-N28-N29-N30</f>
        <v>129.44274</v>
      </c>
      <c r="O31" s="16" t="n">
        <f aca="false">O23-O27-O28-O29-O30</f>
        <v>176.27174</v>
      </c>
      <c r="P31" s="16" t="n">
        <f aca="false">P23-P27-P28-P29-P30</f>
        <v>223.10074</v>
      </c>
      <c r="Q31" s="16" t="n">
        <f aca="false">Q23-Q27-Q28-Q29-Q30</f>
        <v>269.92974</v>
      </c>
      <c r="R31" s="16" t="n">
        <f aca="false">R23-R27-R28-R29-R30</f>
        <v>316.75874</v>
      </c>
      <c r="S31" s="16" t="n">
        <f aca="false">S23-S27-S28-S29-S30</f>
        <v>363.58774</v>
      </c>
      <c r="T31" s="16" t="n">
        <f aca="false">T23-T27-T28-T29-T30</f>
        <v>410.41674</v>
      </c>
      <c r="U31" s="16" t="n">
        <f aca="false">U23-U27-U28-U29-U30</f>
        <v>423.01903</v>
      </c>
      <c r="V31" s="16" t="n">
        <f aca="false">V23-V27-V28-V29-V30</f>
        <v>443.62132</v>
      </c>
      <c r="W31" s="16" t="n">
        <f aca="false">W23-W27-W28-W29-W30</f>
        <v>464.22361</v>
      </c>
      <c r="X31" s="16" t="n">
        <f aca="false">X23-X27-X28-X29-X30</f>
        <v>484.8259</v>
      </c>
      <c r="Y31" s="16" t="n">
        <f aca="false">Y23-Y27-Y28-Y29-Y30</f>
        <v>686.37819</v>
      </c>
      <c r="Z31" s="16" t="n">
        <f aca="false">Z23-Z27-Z28-Z29-Z30</f>
        <v>895.93048</v>
      </c>
    </row>
    <row r="32" customFormat="false" ht="15" hidden="false" customHeight="false" outlineLevel="0" collapsed="false">
      <c r="B32" s="8" t="s">
        <v>150</v>
      </c>
      <c r="C32" s="15" t="n">
        <f aca="false">C31</f>
        <v>-12.39771</v>
      </c>
      <c r="D32" s="15" t="n">
        <f aca="false">C32+D31</f>
        <v>-4.19313</v>
      </c>
      <c r="E32" s="15" t="n">
        <f aca="false">D32+E31</f>
        <v>24.61374</v>
      </c>
      <c r="F32" s="15" t="n">
        <f aca="false">E32+F31</f>
        <v>74.0229</v>
      </c>
      <c r="G32" s="15" t="n">
        <f aca="false">F32+G31</f>
        <v>144.03435</v>
      </c>
      <c r="H32" s="15" t="n">
        <f aca="false">G32+H31</f>
        <v>234.64809</v>
      </c>
      <c r="I32" s="15" t="n">
        <f aca="false">H32+I31</f>
        <v>325.26183</v>
      </c>
      <c r="J32" s="15" t="n">
        <f aca="false">I32+J31</f>
        <v>415.87557</v>
      </c>
      <c r="K32" s="15" t="n">
        <f aca="false">J32+K31</f>
        <v>506.48931</v>
      </c>
      <c r="L32" s="15" t="n">
        <f aca="false">K32+L31</f>
        <v>597.10305</v>
      </c>
      <c r="M32" s="15" t="n">
        <f aca="false">L32+M31</f>
        <v>687.71679</v>
      </c>
      <c r="N32" s="15" t="n">
        <f aca="false">M32+N31</f>
        <v>817.15953</v>
      </c>
      <c r="O32" s="15" t="n">
        <f aca="false">N32+O31</f>
        <v>993.43127</v>
      </c>
      <c r="P32" s="15" t="n">
        <f aca="false">O32+P31</f>
        <v>1216.53201</v>
      </c>
      <c r="Q32" s="15" t="n">
        <f aca="false">P32+Q31</f>
        <v>1486.46175</v>
      </c>
      <c r="R32" s="15" t="n">
        <f aca="false">Q32+R31</f>
        <v>1803.22049</v>
      </c>
      <c r="S32" s="15" t="n">
        <f aca="false">R32+S31</f>
        <v>2166.80823</v>
      </c>
      <c r="T32" s="15" t="n">
        <f aca="false">S32+T31</f>
        <v>2577.22497</v>
      </c>
      <c r="U32" s="15" t="n">
        <f aca="false">T32+U31</f>
        <v>3000.244</v>
      </c>
      <c r="V32" s="15" t="n">
        <f aca="false">U32+V31</f>
        <v>3443.86532</v>
      </c>
      <c r="W32" s="15" t="n">
        <f aca="false">V32+W31</f>
        <v>3908.08893</v>
      </c>
      <c r="X32" s="15" t="n">
        <f aca="false">W32+X31</f>
        <v>4392.91483</v>
      </c>
      <c r="Y32" s="15" t="n">
        <f aca="false">X32+Y31</f>
        <v>5079.29302</v>
      </c>
      <c r="Z32" s="15" t="n">
        <f aca="false">Y32+Z31</f>
        <v>5975.2235</v>
      </c>
    </row>
  </sheetData>
  <mergeCells count="5">
    <mergeCell ref="A1:Z1"/>
    <mergeCell ref="A5:Z5"/>
    <mergeCell ref="A11:Z11"/>
    <mergeCell ref="A19:Z19"/>
    <mergeCell ref="A26:Z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26" min="3" style="0" width="12"/>
    <col collapsed="false" customWidth="true" hidden="false" outlineLevel="0" max="27" min="27" style="0" width="4"/>
  </cols>
  <sheetData>
    <row r="1" customFormat="false" ht="24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2.8" hidden="false" customHeight="false" outlineLevel="0" collapsed="false">
      <c r="B2" s="5" t="s">
        <v>103</v>
      </c>
    </row>
    <row r="4" customFormat="false" ht="21.75" hidden="false" customHeight="true" outlineLevel="0" collapsed="false">
      <c r="A4" s="7"/>
      <c r="B4" s="7" t="s">
        <v>104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7" t="s">
        <v>112</v>
      </c>
      <c r="K4" s="7" t="s">
        <v>113</v>
      </c>
      <c r="L4" s="7" t="s">
        <v>114</v>
      </c>
      <c r="M4" s="7" t="s">
        <v>115</v>
      </c>
      <c r="N4" s="7" t="s">
        <v>116</v>
      </c>
      <c r="O4" s="7" t="s">
        <v>117</v>
      </c>
      <c r="P4" s="7" t="s">
        <v>118</v>
      </c>
      <c r="Q4" s="7" t="s">
        <v>119</v>
      </c>
      <c r="R4" s="7" t="s">
        <v>120</v>
      </c>
      <c r="S4" s="7" t="s">
        <v>121</v>
      </c>
      <c r="T4" s="7" t="s">
        <v>122</v>
      </c>
      <c r="U4" s="7" t="s">
        <v>123</v>
      </c>
      <c r="V4" s="7" t="s">
        <v>124</v>
      </c>
      <c r="W4" s="7" t="s">
        <v>125</v>
      </c>
      <c r="X4" s="7" t="s">
        <v>126</v>
      </c>
      <c r="Y4" s="7" t="s">
        <v>127</v>
      </c>
      <c r="Z4" s="7" t="s">
        <v>128</v>
      </c>
      <c r="AA4" s="7"/>
    </row>
    <row r="5" customFormat="false" ht="18" hidden="false" customHeight="true" outlineLevel="0" collapsed="false">
      <c r="A5" s="6" t="s">
        <v>129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B6" s="4" t="s">
        <v>130</v>
      </c>
      <c r="C6" s="14" t="n">
        <f aca="false">Assumpties!$C$7</f>
        <v>30</v>
      </c>
      <c r="D6" s="14" t="n">
        <f aca="false">ROUND(C6*(1+Assumpties!$C$8),0)</f>
        <v>32</v>
      </c>
      <c r="E6" s="14" t="n">
        <f aca="false">ROUND(D6*(1+Assumpties!$C$8),0)</f>
        <v>35</v>
      </c>
      <c r="F6" s="14" t="n">
        <f aca="false">ROUND(E6*(1+Assumpties!$C$8),0)</f>
        <v>38</v>
      </c>
      <c r="G6" s="14" t="n">
        <f aca="false">ROUND(F6*(1+Assumpties!$C$8),0)</f>
        <v>41</v>
      </c>
      <c r="H6" s="14" t="n">
        <f aca="false">ROUND(G6*(1+Assumpties!$C$8),0)</f>
        <v>44</v>
      </c>
      <c r="I6" s="14" t="n">
        <f aca="false">ROUND(H6*(1+Assumpties!$C$8),0)</f>
        <v>48</v>
      </c>
      <c r="J6" s="14" t="n">
        <f aca="false">ROUND(I6*(1+Assumpties!$C$8),0)</f>
        <v>52</v>
      </c>
      <c r="K6" s="14" t="n">
        <f aca="false">ROUND(J6*(1+Assumpties!$C$8),0)</f>
        <v>56</v>
      </c>
      <c r="L6" s="14" t="n">
        <f aca="false">ROUND(K6*(1+Assumpties!$C$8),0)</f>
        <v>60</v>
      </c>
      <c r="M6" s="14" t="n">
        <f aca="false">ROUND(L6*(1+Assumpties!$C$8),0)</f>
        <v>65</v>
      </c>
      <c r="N6" s="14" t="n">
        <f aca="false">ROUND(M6*(1+Assumpties!$C$8),0)</f>
        <v>70</v>
      </c>
      <c r="O6" s="14" t="n">
        <f aca="false">ROUND(N6*(1+Assumpties!$C$8),0)</f>
        <v>76</v>
      </c>
      <c r="P6" s="14" t="n">
        <f aca="false">ROUND(O6*(1+Assumpties!$C$8),0)</f>
        <v>82</v>
      </c>
      <c r="Q6" s="14" t="n">
        <f aca="false">ROUND(P6*(1+Assumpties!$C$8),0)</f>
        <v>89</v>
      </c>
      <c r="R6" s="14" t="n">
        <f aca="false">ROUND(Q6*(1+Assumpties!$C$8),0)</f>
        <v>96</v>
      </c>
      <c r="S6" s="14" t="n">
        <f aca="false">ROUND(R6*(1+Assumpties!$C$8),0)</f>
        <v>104</v>
      </c>
      <c r="T6" s="14" t="n">
        <f aca="false">ROUND(S6*(1+Assumpties!$C$8),0)</f>
        <v>112</v>
      </c>
      <c r="U6" s="14" t="n">
        <f aca="false">ROUND(T6*(1+Assumpties!$C$8),0)</f>
        <v>121</v>
      </c>
      <c r="V6" s="14" t="n">
        <f aca="false">ROUND(U6*(1+Assumpties!$C$8),0)</f>
        <v>131</v>
      </c>
      <c r="W6" s="14" t="n">
        <f aca="false">ROUND(V6*(1+Assumpties!$C$8),0)</f>
        <v>141</v>
      </c>
      <c r="X6" s="14" t="n">
        <f aca="false">ROUND(W6*(1+Assumpties!$C$8),0)</f>
        <v>152</v>
      </c>
      <c r="Y6" s="14" t="n">
        <f aca="false">ROUND(X6*(1+Assumpties!$C$8),0)</f>
        <v>164</v>
      </c>
      <c r="Z6" s="14" t="n">
        <f aca="false">ROUND(Y6*(1+Assumpties!$C$8),0)</f>
        <v>177</v>
      </c>
    </row>
    <row r="7" customFormat="false" ht="15" hidden="false" customHeight="false" outlineLevel="0" collapsed="false">
      <c r="B7" s="8" t="s">
        <v>131</v>
      </c>
      <c r="C7" s="14" t="n">
        <f aca="false">C6</f>
        <v>30</v>
      </c>
      <c r="D7" s="14" t="n">
        <f aca="false">C7+D6</f>
        <v>62</v>
      </c>
      <c r="E7" s="14" t="n">
        <f aca="false">D7+E6</f>
        <v>97</v>
      </c>
      <c r="F7" s="14" t="n">
        <f aca="false">E7+F6</f>
        <v>135</v>
      </c>
      <c r="G7" s="14" t="n">
        <f aca="false">F7+G6</f>
        <v>176</v>
      </c>
      <c r="H7" s="14" t="n">
        <f aca="false">G7+H6</f>
        <v>220</v>
      </c>
      <c r="I7" s="14" t="n">
        <f aca="false">H7+I6</f>
        <v>268</v>
      </c>
      <c r="J7" s="14" t="n">
        <f aca="false">I7+J6</f>
        <v>320</v>
      </c>
      <c r="K7" s="14" t="n">
        <f aca="false">J7+K6</f>
        <v>376</v>
      </c>
      <c r="L7" s="14" t="n">
        <f aca="false">K7+L6</f>
        <v>436</v>
      </c>
      <c r="M7" s="14" t="n">
        <f aca="false">L7+M6</f>
        <v>501</v>
      </c>
      <c r="N7" s="14" t="n">
        <f aca="false">M7+N6</f>
        <v>571</v>
      </c>
      <c r="O7" s="14" t="n">
        <f aca="false">N7+O6</f>
        <v>647</v>
      </c>
      <c r="P7" s="14" t="n">
        <f aca="false">O7+P6</f>
        <v>729</v>
      </c>
      <c r="Q7" s="14" t="n">
        <f aca="false">P7+Q6</f>
        <v>818</v>
      </c>
      <c r="R7" s="14" t="n">
        <f aca="false">Q7+R6</f>
        <v>914</v>
      </c>
      <c r="S7" s="14" t="n">
        <f aca="false">R7+S6</f>
        <v>1018</v>
      </c>
      <c r="T7" s="14" t="n">
        <f aca="false">S7+T6</f>
        <v>1130</v>
      </c>
      <c r="U7" s="14" t="n">
        <f aca="false">T7+U6</f>
        <v>1251</v>
      </c>
      <c r="V7" s="14" t="n">
        <f aca="false">U7+V6</f>
        <v>1382</v>
      </c>
      <c r="W7" s="14" t="n">
        <f aca="false">V7+W6</f>
        <v>1523</v>
      </c>
      <c r="X7" s="14" t="n">
        <f aca="false">W7+X6</f>
        <v>1675</v>
      </c>
      <c r="Y7" s="14" t="n">
        <f aca="false">X7+Y6</f>
        <v>1839</v>
      </c>
      <c r="Z7" s="14" t="n">
        <f aca="false">Y7+Z6</f>
        <v>2016</v>
      </c>
    </row>
    <row r="8" customFormat="false" ht="15" hidden="false" customHeight="false" outlineLevel="0" collapsed="false">
      <c r="B8" s="8" t="s">
        <v>132</v>
      </c>
      <c r="C8" s="14" t="n">
        <f aca="false">ROUND(C7*Assumpties!$C$9,0)</f>
        <v>17</v>
      </c>
      <c r="D8" s="14" t="n">
        <f aca="false">ROUND(D7*Assumpties!$C$9,0)</f>
        <v>34</v>
      </c>
      <c r="E8" s="14" t="n">
        <f aca="false">ROUND(E7*Assumpties!$C$9,0)</f>
        <v>53</v>
      </c>
      <c r="F8" s="14" t="n">
        <f aca="false">ROUND(F7*Assumpties!$C$9,0)</f>
        <v>74</v>
      </c>
      <c r="G8" s="14" t="n">
        <f aca="false">ROUND(G7*Assumpties!$C$9,0)</f>
        <v>97</v>
      </c>
      <c r="H8" s="14" t="n">
        <f aca="false">ROUND(H7*Assumpties!$C$9,0)</f>
        <v>121</v>
      </c>
      <c r="I8" s="14" t="n">
        <f aca="false">ROUND(I7*Assumpties!$C$9,0)</f>
        <v>147</v>
      </c>
      <c r="J8" s="14" t="n">
        <f aca="false">ROUND(J7*Assumpties!$C$9,0)</f>
        <v>176</v>
      </c>
      <c r="K8" s="14" t="n">
        <f aca="false">ROUND(K7*Assumpties!$C$9,0)</f>
        <v>207</v>
      </c>
      <c r="L8" s="14" t="n">
        <f aca="false">ROUND(L7*Assumpties!$C$9,0)</f>
        <v>240</v>
      </c>
      <c r="M8" s="14" t="n">
        <f aca="false">ROUND(M7*Assumpties!$C$9,0)</f>
        <v>276</v>
      </c>
      <c r="N8" s="14" t="n">
        <f aca="false">ROUND(N7*Assumpties!$C$9,0)</f>
        <v>314</v>
      </c>
      <c r="O8" s="14" t="n">
        <f aca="false">ROUND(O7*Assumpties!$C$9,0)</f>
        <v>356</v>
      </c>
      <c r="P8" s="14" t="n">
        <f aca="false">ROUND(P7*Assumpties!$C$9,0)</f>
        <v>401</v>
      </c>
      <c r="Q8" s="14" t="n">
        <f aca="false">ROUND(Q7*Assumpties!$C$9,0)</f>
        <v>450</v>
      </c>
      <c r="R8" s="14" t="n">
        <f aca="false">ROUND(R7*Assumpties!$C$9,0)</f>
        <v>503</v>
      </c>
      <c r="S8" s="14" t="n">
        <f aca="false">ROUND(S7*Assumpties!$C$9,0)</f>
        <v>560</v>
      </c>
      <c r="T8" s="14" t="n">
        <f aca="false">ROUND(T7*Assumpties!$C$9,0)</f>
        <v>622</v>
      </c>
      <c r="U8" s="14" t="n">
        <f aca="false">ROUND(U7*Assumpties!$C$9,0)</f>
        <v>688</v>
      </c>
      <c r="V8" s="14" t="n">
        <f aca="false">ROUND(V7*Assumpties!$C$9,0)</f>
        <v>760</v>
      </c>
      <c r="W8" s="14" t="n">
        <f aca="false">ROUND(W7*Assumpties!$C$9,0)</f>
        <v>838</v>
      </c>
      <c r="X8" s="14" t="n">
        <f aca="false">ROUND(X7*Assumpties!$C$9,0)</f>
        <v>921</v>
      </c>
      <c r="Y8" s="14" t="n">
        <f aca="false">ROUND(Y7*Assumpties!$C$9,0)</f>
        <v>1011</v>
      </c>
      <c r="Z8" s="14" t="n">
        <f aca="false">ROUND(Z7*Assumpties!$C$9,0)</f>
        <v>1109</v>
      </c>
    </row>
    <row r="9" customFormat="false" ht="15" hidden="false" customHeight="false" outlineLevel="0" collapsed="false">
      <c r="B9" s="4" t="s">
        <v>133</v>
      </c>
      <c r="C9" s="14" t="n">
        <f aca="false">ROUND(C6*Assumpties!$C$9*Assumpties!$C$10,0)</f>
        <v>1</v>
      </c>
      <c r="D9" s="14" t="n">
        <f aca="false">ROUND(D6*Assumpties!$C$9*Assumpties!$C$10,0)</f>
        <v>1</v>
      </c>
      <c r="E9" s="14" t="n">
        <f aca="false">ROUND(E6*Assumpties!$C$9*Assumpties!$C$10,0)</f>
        <v>1</v>
      </c>
      <c r="F9" s="14" t="n">
        <f aca="false">ROUND(F6*Assumpties!$C$9*Assumpties!$C$10,0)</f>
        <v>1</v>
      </c>
      <c r="G9" s="14" t="n">
        <f aca="false">ROUND(G6*Assumpties!$C$9*Assumpties!$C$10,0)</f>
        <v>1</v>
      </c>
      <c r="H9" s="14" t="n">
        <f aca="false">ROUND(H6*Assumpties!$C$9*Assumpties!$C$10,0)</f>
        <v>1</v>
      </c>
      <c r="I9" s="14" t="n">
        <f aca="false">ROUND(I6*Assumpties!$C$9*Assumpties!$C$10,0)</f>
        <v>1</v>
      </c>
      <c r="J9" s="14" t="n">
        <f aca="false">ROUND(J6*Assumpties!$C$9*Assumpties!$C$10,0)</f>
        <v>1</v>
      </c>
      <c r="K9" s="14" t="n">
        <f aca="false">ROUND(K6*Assumpties!$C$9*Assumpties!$C$10,0)</f>
        <v>1</v>
      </c>
      <c r="L9" s="14" t="n">
        <f aca="false">ROUND(L6*Assumpties!$C$9*Assumpties!$C$10,0)</f>
        <v>1</v>
      </c>
      <c r="M9" s="14" t="n">
        <f aca="false">ROUND(M6*Assumpties!$C$9*Assumpties!$C$10,0)</f>
        <v>1</v>
      </c>
      <c r="N9" s="14" t="n">
        <f aca="false">ROUND(N6*Assumpties!$C$9*Assumpties!$C$10,0)</f>
        <v>2</v>
      </c>
      <c r="O9" s="14" t="n">
        <f aca="false">ROUND(O6*Assumpties!$C$9*Assumpties!$C$10,0)</f>
        <v>2</v>
      </c>
      <c r="P9" s="14" t="n">
        <f aca="false">ROUND(P6*Assumpties!$C$9*Assumpties!$C$10,0)</f>
        <v>2</v>
      </c>
      <c r="Q9" s="14" t="n">
        <f aca="false">ROUND(Q6*Assumpties!$C$9*Assumpties!$C$10,0)</f>
        <v>2</v>
      </c>
      <c r="R9" s="14" t="n">
        <f aca="false">ROUND(R6*Assumpties!$C$9*Assumpties!$C$10,0)</f>
        <v>2</v>
      </c>
      <c r="S9" s="14" t="n">
        <f aca="false">ROUND(S6*Assumpties!$C$9*Assumpties!$C$10,0)</f>
        <v>2</v>
      </c>
      <c r="T9" s="14" t="n">
        <f aca="false">ROUND(T6*Assumpties!$C$9*Assumpties!$C$10,0)</f>
        <v>2</v>
      </c>
      <c r="U9" s="14" t="n">
        <f aca="false">ROUND(U6*Assumpties!$C$9*Assumpties!$C$10,0)</f>
        <v>3</v>
      </c>
      <c r="V9" s="14" t="n">
        <f aca="false">ROUND(V6*Assumpties!$C$9*Assumpties!$C$10,0)</f>
        <v>3</v>
      </c>
      <c r="W9" s="14" t="n">
        <f aca="false">ROUND(W6*Assumpties!$C$9*Assumpties!$C$10,0)</f>
        <v>3</v>
      </c>
      <c r="X9" s="14" t="n">
        <f aca="false">ROUND(X6*Assumpties!$C$9*Assumpties!$C$10,0)</f>
        <v>3</v>
      </c>
      <c r="Y9" s="14" t="n">
        <f aca="false">ROUND(Y6*Assumpties!$C$9*Assumpties!$C$10,0)</f>
        <v>4</v>
      </c>
      <c r="Z9" s="14" t="n">
        <f aca="false">ROUND(Z6*Assumpties!$C$9*Assumpties!$C$10,0)</f>
        <v>4</v>
      </c>
    </row>
    <row r="11" customFormat="false" ht="18" hidden="false" customHeight="true" outlineLevel="0" collapsed="false">
      <c r="A11" s="6" t="s">
        <v>186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23.85" hidden="false" customHeight="false" outlineLevel="0" collapsed="false">
      <c r="B12" s="8" t="s">
        <v>187</v>
      </c>
      <c r="C12" s="14" t="n">
        <f aca="false">C9*2</f>
        <v>2</v>
      </c>
      <c r="D12" s="14" t="n">
        <f aca="false">D9*2</f>
        <v>2</v>
      </c>
      <c r="E12" s="14" t="n">
        <f aca="false">E9*2</f>
        <v>2</v>
      </c>
      <c r="F12" s="14" t="n">
        <f aca="false">F9*2</f>
        <v>2</v>
      </c>
      <c r="G12" s="14" t="n">
        <f aca="false">G9*2</f>
        <v>2</v>
      </c>
      <c r="H12" s="14" t="n">
        <f aca="false">H9*2</f>
        <v>2</v>
      </c>
      <c r="I12" s="14" t="n">
        <f aca="false">I9*2</f>
        <v>2</v>
      </c>
      <c r="J12" s="14" t="n">
        <f aca="false">J9*2</f>
        <v>2</v>
      </c>
      <c r="K12" s="14" t="n">
        <f aca="false">K9*2</f>
        <v>2</v>
      </c>
      <c r="L12" s="14" t="n">
        <f aca="false">L9*2</f>
        <v>2</v>
      </c>
      <c r="M12" s="14" t="n">
        <f aca="false">M9*2</f>
        <v>2</v>
      </c>
      <c r="N12" s="14" t="n">
        <f aca="false">N9*2</f>
        <v>4</v>
      </c>
      <c r="O12" s="14" t="n">
        <f aca="false">O9*2</f>
        <v>4</v>
      </c>
      <c r="P12" s="14" t="n">
        <f aca="false">P9*2</f>
        <v>4</v>
      </c>
      <c r="Q12" s="14" t="n">
        <f aca="false">Q9*2</f>
        <v>4</v>
      </c>
      <c r="R12" s="14" t="n">
        <f aca="false">R9*2</f>
        <v>4</v>
      </c>
      <c r="S12" s="14" t="n">
        <f aca="false">S9*2</f>
        <v>4</v>
      </c>
      <c r="T12" s="14" t="n">
        <f aca="false">T9*2</f>
        <v>4</v>
      </c>
      <c r="U12" s="14" t="n">
        <f aca="false">U9*2</f>
        <v>6</v>
      </c>
      <c r="V12" s="14" t="n">
        <f aca="false">V9*2</f>
        <v>6</v>
      </c>
      <c r="W12" s="14" t="n">
        <f aca="false">W9*2</f>
        <v>6</v>
      </c>
      <c r="X12" s="14" t="n">
        <f aca="false">X9*2</f>
        <v>6</v>
      </c>
      <c r="Y12" s="14" t="n">
        <f aca="false">Y9*2</f>
        <v>8</v>
      </c>
      <c r="Z12" s="14" t="n">
        <f aca="false">Z9*2</f>
        <v>8</v>
      </c>
    </row>
    <row r="13" customFormat="false" ht="15" hidden="false" customHeight="false" outlineLevel="0" collapsed="false">
      <c r="B13" s="8" t="s">
        <v>188</v>
      </c>
      <c r="C13" s="14" t="n">
        <f aca="false">C12</f>
        <v>2</v>
      </c>
      <c r="D13" s="14" t="n">
        <f aca="false">ROUND(C13*0.92+D12,0)</f>
        <v>4</v>
      </c>
      <c r="E13" s="14" t="n">
        <f aca="false">ROUND(D13*0.92+E12,0)</f>
        <v>6</v>
      </c>
      <c r="F13" s="14" t="n">
        <f aca="false">ROUND(E13*0.92+F12,0)</f>
        <v>8</v>
      </c>
      <c r="G13" s="14" t="n">
        <f aca="false">ROUND(F13*0.92+G12,0)</f>
        <v>9</v>
      </c>
      <c r="H13" s="14" t="n">
        <f aca="false">ROUND(G13*0.92+H12,0)</f>
        <v>10</v>
      </c>
      <c r="I13" s="14" t="n">
        <f aca="false">ROUND(H13*0.92+I12,0)</f>
        <v>11</v>
      </c>
      <c r="J13" s="14" t="n">
        <f aca="false">ROUND(I13*0.92+J12,0)</f>
        <v>12</v>
      </c>
      <c r="K13" s="14" t="n">
        <f aca="false">ROUND(J13*0.92+K12,0)</f>
        <v>13</v>
      </c>
      <c r="L13" s="14" t="n">
        <f aca="false">ROUND(K13*0.92+L12,0)</f>
        <v>14</v>
      </c>
      <c r="M13" s="14" t="n">
        <f aca="false">ROUND(L13*0.92+M12,0)</f>
        <v>15</v>
      </c>
      <c r="N13" s="14" t="n">
        <f aca="false">ROUND(M13*0.92+N12,0)</f>
        <v>18</v>
      </c>
      <c r="O13" s="14" t="n">
        <f aca="false">ROUND(N13*0.92+O12,0)</f>
        <v>21</v>
      </c>
      <c r="P13" s="14" t="n">
        <f aca="false">ROUND(O13*0.92+P12,0)</f>
        <v>23</v>
      </c>
      <c r="Q13" s="14" t="n">
        <f aca="false">ROUND(P13*0.92+Q12,0)</f>
        <v>25</v>
      </c>
      <c r="R13" s="14" t="n">
        <f aca="false">ROUND(Q13*0.92+R12,0)</f>
        <v>27</v>
      </c>
      <c r="S13" s="14" t="n">
        <f aca="false">ROUND(R13*0.92+S12,0)</f>
        <v>29</v>
      </c>
      <c r="T13" s="14" t="n">
        <f aca="false">ROUND(S13*0.92+T12,0)</f>
        <v>31</v>
      </c>
      <c r="U13" s="14" t="n">
        <f aca="false">ROUND(T13*0.92+U12,0)</f>
        <v>35</v>
      </c>
      <c r="V13" s="14" t="n">
        <f aca="false">ROUND(U13*0.92+V12,0)</f>
        <v>38</v>
      </c>
      <c r="W13" s="14" t="n">
        <f aca="false">ROUND(V13*0.92+W12,0)</f>
        <v>41</v>
      </c>
      <c r="X13" s="14" t="n">
        <f aca="false">ROUND(W13*0.92+X12,0)</f>
        <v>44</v>
      </c>
      <c r="Y13" s="14" t="n">
        <f aca="false">ROUND(X13*0.92+Y12,0)</f>
        <v>48</v>
      </c>
      <c r="Z13" s="14" t="n">
        <f aca="false">ROUND(Y13*0.92+Z12,0)</f>
        <v>52</v>
      </c>
    </row>
    <row r="14" customFormat="false" ht="23.85" hidden="false" customHeight="false" outlineLevel="0" collapsed="false">
      <c r="B14" s="8" t="s">
        <v>189</v>
      </c>
      <c r="C14" s="20" t="n">
        <v>0.8</v>
      </c>
      <c r="D14" s="20" t="n">
        <v>0.8</v>
      </c>
      <c r="E14" s="20" t="n">
        <v>0.8</v>
      </c>
      <c r="F14" s="20" t="n">
        <v>0.8</v>
      </c>
      <c r="G14" s="20" t="n">
        <v>0.8</v>
      </c>
      <c r="H14" s="20" t="n">
        <v>0.8</v>
      </c>
      <c r="I14" s="20" t="n">
        <v>0.8</v>
      </c>
      <c r="J14" s="20" t="n">
        <v>0.8</v>
      </c>
      <c r="K14" s="20" t="n">
        <v>0.8</v>
      </c>
      <c r="L14" s="20" t="n">
        <v>0.8</v>
      </c>
      <c r="M14" s="20" t="n">
        <v>0.8</v>
      </c>
      <c r="N14" s="20" t="n">
        <v>0.8</v>
      </c>
      <c r="O14" s="20" t="n">
        <v>0.8</v>
      </c>
      <c r="P14" s="20" t="n">
        <v>0.8</v>
      </c>
      <c r="Q14" s="20" t="n">
        <v>0.8</v>
      </c>
      <c r="R14" s="20" t="n">
        <v>0.8</v>
      </c>
      <c r="S14" s="20" t="n">
        <v>0.8</v>
      </c>
      <c r="T14" s="20" t="n">
        <v>0.8</v>
      </c>
      <c r="U14" s="20" t="n">
        <v>0.8</v>
      </c>
      <c r="V14" s="20" t="n">
        <v>0.8</v>
      </c>
      <c r="W14" s="20" t="n">
        <v>0.8</v>
      </c>
      <c r="X14" s="20" t="n">
        <v>0.8</v>
      </c>
      <c r="Y14" s="20" t="n">
        <v>0.8</v>
      </c>
      <c r="Z14" s="20" t="n">
        <v>0.8</v>
      </c>
    </row>
    <row r="15" customFormat="false" ht="15" hidden="false" customHeight="false" outlineLevel="0" collapsed="false">
      <c r="B15" s="8" t="s">
        <v>190</v>
      </c>
      <c r="C15" s="14" t="n">
        <f aca="false">ROUND(C13*C14,0)</f>
        <v>2</v>
      </c>
      <c r="D15" s="14" t="n">
        <f aca="false">ROUND(D13*D14,0)</f>
        <v>3</v>
      </c>
      <c r="E15" s="14" t="n">
        <f aca="false">ROUND(E13*E14,0)</f>
        <v>5</v>
      </c>
      <c r="F15" s="14" t="n">
        <f aca="false">ROUND(F13*F14,0)</f>
        <v>6</v>
      </c>
      <c r="G15" s="14" t="n">
        <f aca="false">ROUND(G13*G14,0)</f>
        <v>7</v>
      </c>
      <c r="H15" s="14" t="n">
        <f aca="false">ROUND(H13*H14,0)</f>
        <v>8</v>
      </c>
      <c r="I15" s="14" t="n">
        <f aca="false">ROUND(I13*I14,0)</f>
        <v>9</v>
      </c>
      <c r="J15" s="14" t="n">
        <f aca="false">ROUND(J13*J14,0)</f>
        <v>10</v>
      </c>
      <c r="K15" s="14" t="n">
        <f aca="false">ROUND(K13*K14,0)</f>
        <v>10</v>
      </c>
      <c r="L15" s="14" t="n">
        <f aca="false">ROUND(L13*L14,0)</f>
        <v>11</v>
      </c>
      <c r="M15" s="14" t="n">
        <f aca="false">ROUND(M13*M14,0)</f>
        <v>12</v>
      </c>
      <c r="N15" s="14" t="n">
        <f aca="false">ROUND(N13*N14,0)</f>
        <v>14</v>
      </c>
      <c r="O15" s="14" t="n">
        <f aca="false">ROUND(O13*O14,0)</f>
        <v>17</v>
      </c>
      <c r="P15" s="14" t="n">
        <f aca="false">ROUND(P13*P14,0)</f>
        <v>18</v>
      </c>
      <c r="Q15" s="14" t="n">
        <f aca="false">ROUND(Q13*Q14,0)</f>
        <v>20</v>
      </c>
      <c r="R15" s="14" t="n">
        <f aca="false">ROUND(R13*R14,0)</f>
        <v>22</v>
      </c>
      <c r="S15" s="14" t="n">
        <f aca="false">ROUND(S13*S14,0)</f>
        <v>23</v>
      </c>
      <c r="T15" s="14" t="n">
        <f aca="false">ROUND(T13*T14,0)</f>
        <v>25</v>
      </c>
      <c r="U15" s="14" t="n">
        <f aca="false">ROUND(U13*U14,0)</f>
        <v>28</v>
      </c>
      <c r="V15" s="14" t="n">
        <f aca="false">ROUND(V13*V14,0)</f>
        <v>30</v>
      </c>
      <c r="W15" s="14" t="n">
        <f aca="false">ROUND(W13*W14,0)</f>
        <v>33</v>
      </c>
      <c r="X15" s="14" t="n">
        <f aca="false">ROUND(X13*X14,0)</f>
        <v>35</v>
      </c>
      <c r="Y15" s="14" t="n">
        <f aca="false">ROUND(Y13*Y14,0)</f>
        <v>38</v>
      </c>
      <c r="Z15" s="14" t="n">
        <f aca="false">ROUND(Z13*Z14,0)</f>
        <v>42</v>
      </c>
    </row>
    <row r="17" customFormat="false" ht="18" hidden="false" customHeight="true" outlineLevel="0" collapsed="false">
      <c r="A17" s="6" t="s">
        <v>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B18" s="8" t="s">
        <v>191</v>
      </c>
      <c r="C18" s="15" t="n">
        <f aca="false">C13*Assumpties!$C$29</f>
        <v>9.98</v>
      </c>
      <c r="D18" s="15" t="n">
        <f aca="false">D13*Assumpties!$C$29</f>
        <v>19.96</v>
      </c>
      <c r="E18" s="15" t="n">
        <f aca="false">E13*Assumpties!$C$29</f>
        <v>29.94</v>
      </c>
      <c r="F18" s="15" t="n">
        <f aca="false">F13*Assumpties!$C$29</f>
        <v>39.92</v>
      </c>
      <c r="G18" s="15" t="n">
        <f aca="false">G13*Assumpties!$C$29</f>
        <v>44.91</v>
      </c>
      <c r="H18" s="15" t="n">
        <f aca="false">H13*Assumpties!$C$29</f>
        <v>49.9</v>
      </c>
      <c r="I18" s="15" t="n">
        <f aca="false">I13*Assumpties!$C$29</f>
        <v>54.89</v>
      </c>
      <c r="J18" s="15" t="n">
        <f aca="false">J13*Assumpties!$C$29</f>
        <v>59.88</v>
      </c>
      <c r="K18" s="15" t="n">
        <f aca="false">K13*Assumpties!$C$29</f>
        <v>64.87</v>
      </c>
      <c r="L18" s="15" t="n">
        <f aca="false">L13*Assumpties!$C$29</f>
        <v>69.86</v>
      </c>
      <c r="M18" s="15" t="n">
        <f aca="false">M13*Assumpties!$C$29</f>
        <v>74.85</v>
      </c>
      <c r="N18" s="15" t="n">
        <f aca="false">N13*Assumpties!$C$29</f>
        <v>89.82</v>
      </c>
      <c r="O18" s="15" t="n">
        <f aca="false">O13*Assumpties!$C$29</f>
        <v>104.79</v>
      </c>
      <c r="P18" s="15" t="n">
        <f aca="false">P13*Assumpties!$C$29</f>
        <v>114.77</v>
      </c>
      <c r="Q18" s="15" t="n">
        <f aca="false">Q13*Assumpties!$C$29</f>
        <v>124.75</v>
      </c>
      <c r="R18" s="15" t="n">
        <f aca="false">R13*Assumpties!$C$29</f>
        <v>134.73</v>
      </c>
      <c r="S18" s="15" t="n">
        <f aca="false">S13*Assumpties!$C$29</f>
        <v>144.71</v>
      </c>
      <c r="T18" s="15" t="n">
        <f aca="false">T13*Assumpties!$C$29</f>
        <v>154.69</v>
      </c>
      <c r="U18" s="15" t="n">
        <f aca="false">U13*Assumpties!$C$29</f>
        <v>174.65</v>
      </c>
      <c r="V18" s="15" t="n">
        <f aca="false">V13*Assumpties!$C$29</f>
        <v>189.62</v>
      </c>
      <c r="W18" s="15" t="n">
        <f aca="false">W13*Assumpties!$C$29</f>
        <v>204.59</v>
      </c>
      <c r="X18" s="15" t="n">
        <f aca="false">X13*Assumpties!$C$29</f>
        <v>219.56</v>
      </c>
      <c r="Y18" s="15" t="n">
        <f aca="false">Y13*Assumpties!$C$29</f>
        <v>239.52</v>
      </c>
      <c r="Z18" s="15" t="n">
        <f aca="false">Z13*Assumpties!$C$29</f>
        <v>259.48</v>
      </c>
    </row>
    <row r="19" customFormat="false" ht="15" hidden="false" customHeight="false" outlineLevel="0" collapsed="false">
      <c r="B19" s="8" t="s">
        <v>192</v>
      </c>
      <c r="C19" s="15" t="n">
        <f aca="false">C15*Assumpties!$C$28</f>
        <v>5</v>
      </c>
      <c r="D19" s="15" t="n">
        <f aca="false">D15*Assumpties!$C$28</f>
        <v>7.5</v>
      </c>
      <c r="E19" s="15" t="n">
        <f aca="false">E15*Assumpties!$C$28</f>
        <v>12.5</v>
      </c>
      <c r="F19" s="15" t="n">
        <f aca="false">F15*Assumpties!$C$28</f>
        <v>15</v>
      </c>
      <c r="G19" s="15" t="n">
        <f aca="false">G15*Assumpties!$C$28</f>
        <v>17.5</v>
      </c>
      <c r="H19" s="15" t="n">
        <f aca="false">H15*Assumpties!$C$28</f>
        <v>20</v>
      </c>
      <c r="I19" s="15" t="n">
        <f aca="false">I15*Assumpties!$C$28</f>
        <v>22.5</v>
      </c>
      <c r="J19" s="15" t="n">
        <f aca="false">J15*Assumpties!$C$28</f>
        <v>25</v>
      </c>
      <c r="K19" s="15" t="n">
        <f aca="false">K15*Assumpties!$C$28</f>
        <v>25</v>
      </c>
      <c r="L19" s="15" t="n">
        <f aca="false">L15*Assumpties!$C$28</f>
        <v>27.5</v>
      </c>
      <c r="M19" s="15" t="n">
        <f aca="false">M15*Assumpties!$C$28</f>
        <v>30</v>
      </c>
      <c r="N19" s="15" t="n">
        <f aca="false">N15*Assumpties!$C$28</f>
        <v>35</v>
      </c>
      <c r="O19" s="15" t="n">
        <f aca="false">O15*Assumpties!$C$28</f>
        <v>42.5</v>
      </c>
      <c r="P19" s="15" t="n">
        <f aca="false">P15*Assumpties!$C$28</f>
        <v>45</v>
      </c>
      <c r="Q19" s="15" t="n">
        <f aca="false">Q15*Assumpties!$C$28</f>
        <v>50</v>
      </c>
      <c r="R19" s="15" t="n">
        <f aca="false">R15*Assumpties!$C$28</f>
        <v>55</v>
      </c>
      <c r="S19" s="15" t="n">
        <f aca="false">S15*Assumpties!$C$28</f>
        <v>57.5</v>
      </c>
      <c r="T19" s="15" t="n">
        <f aca="false">T15*Assumpties!$C$28</f>
        <v>62.5</v>
      </c>
      <c r="U19" s="15" t="n">
        <f aca="false">U15*Assumpties!$C$28</f>
        <v>70</v>
      </c>
      <c r="V19" s="15" t="n">
        <f aca="false">V15*Assumpties!$C$28</f>
        <v>75</v>
      </c>
      <c r="W19" s="15" t="n">
        <f aca="false">W15*Assumpties!$C$28</f>
        <v>82.5</v>
      </c>
      <c r="X19" s="15" t="n">
        <f aca="false">X15*Assumpties!$C$28</f>
        <v>87.5</v>
      </c>
      <c r="Y19" s="15" t="n">
        <f aca="false">Y15*Assumpties!$C$28</f>
        <v>95</v>
      </c>
      <c r="Z19" s="15" t="n">
        <f aca="false">Z15*Assumpties!$C$28</f>
        <v>105</v>
      </c>
    </row>
    <row r="20" customFormat="false" ht="15" hidden="false" customHeight="false" outlineLevel="0" collapsed="false">
      <c r="B20" s="4" t="s">
        <v>175</v>
      </c>
      <c r="C20" s="16" t="n">
        <f aca="false">C18+C19</f>
        <v>14.98</v>
      </c>
      <c r="D20" s="16" t="n">
        <f aca="false">D18+D19</f>
        <v>27.46</v>
      </c>
      <c r="E20" s="16" t="n">
        <f aca="false">E18+E19</f>
        <v>42.44</v>
      </c>
      <c r="F20" s="16" t="n">
        <f aca="false">F18+F19</f>
        <v>54.92</v>
      </c>
      <c r="G20" s="16" t="n">
        <f aca="false">G18+G19</f>
        <v>62.41</v>
      </c>
      <c r="H20" s="16" t="n">
        <f aca="false">H18+H19</f>
        <v>69.9</v>
      </c>
      <c r="I20" s="16" t="n">
        <f aca="false">I18+I19</f>
        <v>77.39</v>
      </c>
      <c r="J20" s="16" t="n">
        <f aca="false">J18+J19</f>
        <v>84.88</v>
      </c>
      <c r="K20" s="16" t="n">
        <f aca="false">K18+K19</f>
        <v>89.87</v>
      </c>
      <c r="L20" s="16" t="n">
        <f aca="false">L18+L19</f>
        <v>97.36</v>
      </c>
      <c r="M20" s="16" t="n">
        <f aca="false">M18+M19</f>
        <v>104.85</v>
      </c>
      <c r="N20" s="16" t="n">
        <f aca="false">N18+N19</f>
        <v>124.82</v>
      </c>
      <c r="O20" s="16" t="n">
        <f aca="false">O18+O19</f>
        <v>147.29</v>
      </c>
      <c r="P20" s="16" t="n">
        <f aca="false">P18+P19</f>
        <v>159.77</v>
      </c>
      <c r="Q20" s="16" t="n">
        <f aca="false">Q18+Q19</f>
        <v>174.75</v>
      </c>
      <c r="R20" s="16" t="n">
        <f aca="false">R18+R19</f>
        <v>189.73</v>
      </c>
      <c r="S20" s="16" t="n">
        <f aca="false">S18+S19</f>
        <v>202.21</v>
      </c>
      <c r="T20" s="16" t="n">
        <f aca="false">T18+T19</f>
        <v>217.19</v>
      </c>
      <c r="U20" s="16" t="n">
        <f aca="false">U18+U19</f>
        <v>244.65</v>
      </c>
      <c r="V20" s="16" t="n">
        <f aca="false">V18+V19</f>
        <v>264.62</v>
      </c>
      <c r="W20" s="16" t="n">
        <f aca="false">W18+W19</f>
        <v>287.09</v>
      </c>
      <c r="X20" s="16" t="n">
        <f aca="false">X18+X19</f>
        <v>307.06</v>
      </c>
      <c r="Y20" s="16" t="n">
        <f aca="false">Y18+Y19</f>
        <v>334.52</v>
      </c>
      <c r="Z20" s="16" t="n">
        <f aca="false">Z18+Z19</f>
        <v>364.48</v>
      </c>
    </row>
    <row r="21" customFormat="false" ht="15" hidden="false" customHeight="false" outlineLevel="0" collapsed="false">
      <c r="B21" s="8" t="s">
        <v>143</v>
      </c>
      <c r="C21" s="15" t="n">
        <f aca="false">C20</f>
        <v>14.98</v>
      </c>
      <c r="D21" s="15" t="n">
        <f aca="false">C21+D20</f>
        <v>42.44</v>
      </c>
      <c r="E21" s="15" t="n">
        <f aca="false">D21+E20</f>
        <v>84.88</v>
      </c>
      <c r="F21" s="15" t="n">
        <f aca="false">E21+F20</f>
        <v>139.8</v>
      </c>
      <c r="G21" s="15" t="n">
        <f aca="false">F21+G20</f>
        <v>202.21</v>
      </c>
      <c r="H21" s="15" t="n">
        <f aca="false">G21+H20</f>
        <v>272.11</v>
      </c>
      <c r="I21" s="15" t="n">
        <f aca="false">H21+I20</f>
        <v>349.5</v>
      </c>
      <c r="J21" s="15" t="n">
        <f aca="false">I21+J20</f>
        <v>434.38</v>
      </c>
      <c r="K21" s="15" t="n">
        <f aca="false">J21+K20</f>
        <v>524.25</v>
      </c>
      <c r="L21" s="15" t="n">
        <f aca="false">K21+L20</f>
        <v>621.61</v>
      </c>
      <c r="M21" s="15" t="n">
        <f aca="false">L21+M20</f>
        <v>726.46</v>
      </c>
      <c r="N21" s="15" t="n">
        <f aca="false">M21+N20</f>
        <v>851.28</v>
      </c>
      <c r="O21" s="15" t="n">
        <f aca="false">N21+O20</f>
        <v>998.57</v>
      </c>
      <c r="P21" s="15" t="n">
        <f aca="false">O21+P20</f>
        <v>1158.34</v>
      </c>
      <c r="Q21" s="15" t="n">
        <f aca="false">P21+Q20</f>
        <v>1333.09</v>
      </c>
      <c r="R21" s="15" t="n">
        <f aca="false">Q21+R20</f>
        <v>1522.82</v>
      </c>
      <c r="S21" s="15" t="n">
        <f aca="false">R21+S20</f>
        <v>1725.03</v>
      </c>
      <c r="T21" s="15" t="n">
        <f aca="false">S21+T20</f>
        <v>1942.22</v>
      </c>
      <c r="U21" s="15" t="n">
        <f aca="false">T21+U20</f>
        <v>2186.87</v>
      </c>
      <c r="V21" s="15" t="n">
        <f aca="false">U21+V20</f>
        <v>2451.49</v>
      </c>
      <c r="W21" s="15" t="n">
        <f aca="false">V21+W20</f>
        <v>2738.58</v>
      </c>
      <c r="X21" s="15" t="n">
        <f aca="false">W21+X20</f>
        <v>3045.64</v>
      </c>
      <c r="Y21" s="15" t="n">
        <f aca="false">X21+Y20</f>
        <v>3380.16</v>
      </c>
      <c r="Z21" s="15" t="n">
        <f aca="false">Y21+Z20</f>
        <v>3744.64</v>
      </c>
    </row>
    <row r="23" customFormat="false" ht="18" hidden="false" customHeight="true" outlineLevel="0" collapsed="false">
      <c r="A23" s="6" t="s">
        <v>166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B24" s="8" t="s">
        <v>145</v>
      </c>
      <c r="C24" s="15" t="n">
        <f aca="false">C20*Assumpties!$C$33+(C13+C15)*Assumpties!$C$34</f>
        <v>1.43442</v>
      </c>
      <c r="D24" s="15" t="n">
        <f aca="false">D20*Assumpties!$C$33+(D13+D15)*Assumpties!$C$34</f>
        <v>2.54634</v>
      </c>
      <c r="E24" s="15" t="n">
        <f aca="false">E20*Assumpties!$C$33+(E13+E15)*Assumpties!$C$34</f>
        <v>3.98076</v>
      </c>
      <c r="F24" s="15" t="n">
        <f aca="false">F20*Assumpties!$C$33+(F13+F15)*Assumpties!$C$34</f>
        <v>5.09268</v>
      </c>
      <c r="G24" s="15" t="n">
        <f aca="false">G20*Assumpties!$C$33+(G13+G15)*Assumpties!$C$34</f>
        <v>5.80989</v>
      </c>
      <c r="H24" s="15" t="n">
        <f aca="false">H20*Assumpties!$C$33+(H13+H15)*Assumpties!$C$34</f>
        <v>6.5271</v>
      </c>
      <c r="I24" s="15" t="n">
        <f aca="false">I20*Assumpties!$C$33+(I13+I15)*Assumpties!$C$34</f>
        <v>7.24431</v>
      </c>
      <c r="J24" s="15" t="n">
        <f aca="false">J20*Assumpties!$C$33+(J13+J15)*Assumpties!$C$34</f>
        <v>7.96152</v>
      </c>
      <c r="K24" s="15" t="n">
        <f aca="false">K20*Assumpties!$C$33+(K13+K15)*Assumpties!$C$34</f>
        <v>8.35623</v>
      </c>
      <c r="L24" s="15" t="n">
        <f aca="false">L20*Assumpties!$C$33+(L13+L15)*Assumpties!$C$34</f>
        <v>9.07344</v>
      </c>
      <c r="M24" s="15" t="n">
        <f aca="false">M20*Assumpties!$C$33+(M13+M15)*Assumpties!$C$34</f>
        <v>9.79065</v>
      </c>
      <c r="N24" s="15" t="n">
        <f aca="false">N20*Assumpties!$C$33+(N13+N15)*Assumpties!$C$34</f>
        <v>11.61978</v>
      </c>
      <c r="O24" s="15" t="n">
        <f aca="false">O20*Assumpties!$C$33+(O13+O15)*Assumpties!$C$34</f>
        <v>13.77141</v>
      </c>
      <c r="P24" s="15" t="n">
        <f aca="false">P20*Assumpties!$C$33+(P13+P15)*Assumpties!$C$34</f>
        <v>14.88333</v>
      </c>
      <c r="Q24" s="15" t="n">
        <f aca="false">Q20*Assumpties!$C$33+(Q13+Q15)*Assumpties!$C$34</f>
        <v>16.31775</v>
      </c>
      <c r="R24" s="15" t="n">
        <f aca="false">R20*Assumpties!$C$33+(R13+R15)*Assumpties!$C$34</f>
        <v>17.75217</v>
      </c>
      <c r="S24" s="15" t="n">
        <f aca="false">S20*Assumpties!$C$33+(S13+S15)*Assumpties!$C$34</f>
        <v>18.86409</v>
      </c>
      <c r="T24" s="15" t="n">
        <f aca="false">T20*Assumpties!$C$33+(T13+T15)*Assumpties!$C$34</f>
        <v>20.29851</v>
      </c>
      <c r="U24" s="15" t="n">
        <f aca="false">U20*Assumpties!$C$33+(U13+U15)*Assumpties!$C$34</f>
        <v>22.84485</v>
      </c>
      <c r="V24" s="15" t="n">
        <f aca="false">V20*Assumpties!$C$33+(V13+V15)*Assumpties!$C$34</f>
        <v>24.67398</v>
      </c>
      <c r="W24" s="15" t="n">
        <f aca="false">W20*Assumpties!$C$33+(W13+W15)*Assumpties!$C$34</f>
        <v>26.82561</v>
      </c>
      <c r="X24" s="15" t="n">
        <f aca="false">X20*Assumpties!$C$33+(X13+X15)*Assumpties!$C$34</f>
        <v>28.65474</v>
      </c>
      <c r="Y24" s="15" t="n">
        <f aca="false">Y20*Assumpties!$C$33+(Y13+Y15)*Assumpties!$C$34</f>
        <v>31.20108</v>
      </c>
      <c r="Z24" s="15" t="n">
        <f aca="false">Z20*Assumpties!$C$33+(Z13+Z15)*Assumpties!$C$34</f>
        <v>34.06992</v>
      </c>
    </row>
    <row r="25" customFormat="false" ht="15" hidden="false" customHeight="false" outlineLevel="0" collapsed="false">
      <c r="B25" s="8" t="s">
        <v>193</v>
      </c>
      <c r="C25" s="15" t="n">
        <f aca="false">C13*0.4</f>
        <v>0.8</v>
      </c>
      <c r="D25" s="15" t="n">
        <f aca="false">D13*0.4</f>
        <v>1.6</v>
      </c>
      <c r="E25" s="15" t="n">
        <f aca="false">E13*0.4</f>
        <v>2.4</v>
      </c>
      <c r="F25" s="15" t="n">
        <f aca="false">F13*0.4</f>
        <v>3.2</v>
      </c>
      <c r="G25" s="15" t="n">
        <f aca="false">G13*0.4</f>
        <v>3.6</v>
      </c>
      <c r="H25" s="15" t="n">
        <f aca="false">H13*0.4</f>
        <v>4</v>
      </c>
      <c r="I25" s="15" t="n">
        <f aca="false">I13*0.4</f>
        <v>4.4</v>
      </c>
      <c r="J25" s="15" t="n">
        <f aca="false">J13*0.4</f>
        <v>4.8</v>
      </c>
      <c r="K25" s="15" t="n">
        <f aca="false">K13*0.4</f>
        <v>5.2</v>
      </c>
      <c r="L25" s="15" t="n">
        <f aca="false">L13*0.4</f>
        <v>5.6</v>
      </c>
      <c r="M25" s="15" t="n">
        <f aca="false">M13*0.4</f>
        <v>6</v>
      </c>
      <c r="N25" s="15" t="n">
        <f aca="false">N13*0.4</f>
        <v>7.2</v>
      </c>
      <c r="O25" s="15" t="n">
        <f aca="false">O13*0.4</f>
        <v>8.4</v>
      </c>
      <c r="P25" s="15" t="n">
        <f aca="false">P13*0.4</f>
        <v>9.2</v>
      </c>
      <c r="Q25" s="15" t="n">
        <f aca="false">Q13*0.4</f>
        <v>10</v>
      </c>
      <c r="R25" s="15" t="n">
        <f aca="false">R13*0.4</f>
        <v>10.8</v>
      </c>
      <c r="S25" s="15" t="n">
        <f aca="false">S13*0.4</f>
        <v>11.6</v>
      </c>
      <c r="T25" s="15" t="n">
        <f aca="false">T13*0.4</f>
        <v>12.4</v>
      </c>
      <c r="U25" s="15" t="n">
        <f aca="false">U13*0.4</f>
        <v>14</v>
      </c>
      <c r="V25" s="15" t="n">
        <f aca="false">V13*0.4</f>
        <v>15.2</v>
      </c>
      <c r="W25" s="15" t="n">
        <f aca="false">W13*0.4</f>
        <v>16.4</v>
      </c>
      <c r="X25" s="15" t="n">
        <f aca="false">X13*0.4</f>
        <v>17.6</v>
      </c>
      <c r="Y25" s="15" t="n">
        <f aca="false">Y13*0.4</f>
        <v>19.2</v>
      </c>
      <c r="Z25" s="15" t="n">
        <f aca="false">Z13*0.4</f>
        <v>20.8</v>
      </c>
    </row>
    <row r="26" customFormat="false" ht="15" hidden="false" customHeight="false" outlineLevel="0" collapsed="false">
      <c r="B26" s="8" t="s">
        <v>167</v>
      </c>
      <c r="C26" s="15" t="n">
        <f aca="false">C13*Assumpties!$C$36</f>
        <v>1</v>
      </c>
      <c r="D26" s="15" t="n">
        <f aca="false">D13*Assumpties!$C$36</f>
        <v>2</v>
      </c>
      <c r="E26" s="15" t="n">
        <f aca="false">E13*Assumpties!$C$36</f>
        <v>3</v>
      </c>
      <c r="F26" s="15" t="n">
        <f aca="false">F13*Assumpties!$C$36</f>
        <v>4</v>
      </c>
      <c r="G26" s="15" t="n">
        <f aca="false">G13*Assumpties!$C$36</f>
        <v>4.5</v>
      </c>
      <c r="H26" s="15" t="n">
        <f aca="false">H13*Assumpties!$C$36</f>
        <v>5</v>
      </c>
      <c r="I26" s="15" t="n">
        <f aca="false">I13*Assumpties!$C$36</f>
        <v>5.5</v>
      </c>
      <c r="J26" s="15" t="n">
        <f aca="false">J13*Assumpties!$C$36</f>
        <v>6</v>
      </c>
      <c r="K26" s="15" t="n">
        <f aca="false">K13*Assumpties!$C$36</f>
        <v>6.5</v>
      </c>
      <c r="L26" s="15" t="n">
        <f aca="false">L13*Assumpties!$C$36</f>
        <v>7</v>
      </c>
      <c r="M26" s="15" t="n">
        <f aca="false">M13*Assumpties!$C$36</f>
        <v>7.5</v>
      </c>
      <c r="N26" s="15" t="n">
        <f aca="false">N13*Assumpties!$C$36</f>
        <v>9</v>
      </c>
      <c r="O26" s="15" t="n">
        <f aca="false">O13*Assumpties!$C$36</f>
        <v>10.5</v>
      </c>
      <c r="P26" s="15" t="n">
        <f aca="false">P13*Assumpties!$C$36</f>
        <v>11.5</v>
      </c>
      <c r="Q26" s="15" t="n">
        <f aca="false">Q13*Assumpties!$C$36</f>
        <v>12.5</v>
      </c>
      <c r="R26" s="15" t="n">
        <f aca="false">R13*Assumpties!$C$36</f>
        <v>13.5</v>
      </c>
      <c r="S26" s="15" t="n">
        <f aca="false">S13*Assumpties!$C$36</f>
        <v>14.5</v>
      </c>
      <c r="T26" s="15" t="n">
        <f aca="false">T13*Assumpties!$C$36</f>
        <v>15.5</v>
      </c>
      <c r="U26" s="15" t="n">
        <f aca="false">U13*Assumpties!$C$36</f>
        <v>17.5</v>
      </c>
      <c r="V26" s="15" t="n">
        <f aca="false">V13*Assumpties!$C$36</f>
        <v>19</v>
      </c>
      <c r="W26" s="15" t="n">
        <f aca="false">W13*Assumpties!$C$36</f>
        <v>20.5</v>
      </c>
      <c r="X26" s="15" t="n">
        <f aca="false">X13*Assumpties!$C$36</f>
        <v>22</v>
      </c>
      <c r="Y26" s="15" t="n">
        <f aca="false">Y13*Assumpties!$C$36</f>
        <v>24</v>
      </c>
      <c r="Z26" s="15" t="n">
        <f aca="false">Z13*Assumpties!$C$36</f>
        <v>26</v>
      </c>
    </row>
    <row r="27" customFormat="false" ht="15" hidden="false" customHeight="false" outlineLevel="0" collapsed="false">
      <c r="B27" s="8" t="s">
        <v>147</v>
      </c>
      <c r="C27" s="15" t="n">
        <f aca="false">Assumpties!$C$35</f>
        <v>25</v>
      </c>
      <c r="D27" s="15" t="n">
        <f aca="false">Assumpties!$C$35</f>
        <v>25</v>
      </c>
      <c r="E27" s="15" t="n">
        <f aca="false">Assumpties!$C$35</f>
        <v>25</v>
      </c>
      <c r="F27" s="15" t="n">
        <f aca="false">Assumpties!$C$35</f>
        <v>25</v>
      </c>
      <c r="G27" s="15" t="n">
        <f aca="false">Assumpties!$C$35</f>
        <v>25</v>
      </c>
      <c r="H27" s="15" t="n">
        <f aca="false">Assumpties!$C$35</f>
        <v>25</v>
      </c>
      <c r="I27" s="15" t="n">
        <f aca="false">Assumpties!$C$35</f>
        <v>25</v>
      </c>
      <c r="J27" s="15" t="n">
        <f aca="false">Assumpties!$C$35</f>
        <v>25</v>
      </c>
      <c r="K27" s="15" t="n">
        <f aca="false">Assumpties!$C$35</f>
        <v>25</v>
      </c>
      <c r="L27" s="15" t="n">
        <f aca="false">Assumpties!$C$35</f>
        <v>25</v>
      </c>
      <c r="M27" s="15" t="n">
        <f aca="false">Assumpties!$C$35</f>
        <v>25</v>
      </c>
      <c r="N27" s="15" t="n">
        <f aca="false">Assumpties!$C$35</f>
        <v>25</v>
      </c>
      <c r="O27" s="15" t="n">
        <f aca="false">Assumpties!$C$35</f>
        <v>25</v>
      </c>
      <c r="P27" s="15" t="n">
        <f aca="false">Assumpties!$C$35</f>
        <v>25</v>
      </c>
      <c r="Q27" s="15" t="n">
        <f aca="false">Assumpties!$C$35</f>
        <v>25</v>
      </c>
      <c r="R27" s="15" t="n">
        <f aca="false">Assumpties!$C$35</f>
        <v>25</v>
      </c>
      <c r="S27" s="15" t="n">
        <f aca="false">Assumpties!$C$35</f>
        <v>25</v>
      </c>
      <c r="T27" s="15" t="n">
        <f aca="false">Assumpties!$C$35</f>
        <v>25</v>
      </c>
      <c r="U27" s="15" t="n">
        <f aca="false">Assumpties!$C$35</f>
        <v>25</v>
      </c>
      <c r="V27" s="15" t="n">
        <f aca="false">Assumpties!$C$35</f>
        <v>25</v>
      </c>
      <c r="W27" s="15" t="n">
        <f aca="false">Assumpties!$C$35</f>
        <v>25</v>
      </c>
      <c r="X27" s="15" t="n">
        <f aca="false">Assumpties!$C$35</f>
        <v>25</v>
      </c>
      <c r="Y27" s="15" t="n">
        <f aca="false">Assumpties!$C$35</f>
        <v>25</v>
      </c>
      <c r="Z27" s="15" t="n">
        <f aca="false">Assumpties!$C$35</f>
        <v>25</v>
      </c>
    </row>
    <row r="28" customFormat="false" ht="15" hidden="false" customHeight="false" outlineLevel="0" collapsed="false">
      <c r="B28" s="8" t="s">
        <v>168</v>
      </c>
      <c r="C28" s="15" t="n">
        <f aca="false">C12*Assumpties!$C$38</f>
        <v>16</v>
      </c>
      <c r="D28" s="15" t="n">
        <f aca="false">D12*Assumpties!$C$38</f>
        <v>16</v>
      </c>
      <c r="E28" s="15" t="n">
        <f aca="false">E12*Assumpties!$C$38</f>
        <v>16</v>
      </c>
      <c r="F28" s="15" t="n">
        <f aca="false">F12*Assumpties!$C$38</f>
        <v>16</v>
      </c>
      <c r="G28" s="15" t="n">
        <f aca="false">G12*Assumpties!$C$38</f>
        <v>16</v>
      </c>
      <c r="H28" s="15" t="n">
        <f aca="false">H12*Assumpties!$C$38</f>
        <v>16</v>
      </c>
      <c r="I28" s="15" t="n">
        <f aca="false">I12*Assumpties!$C$38</f>
        <v>16</v>
      </c>
      <c r="J28" s="15" t="n">
        <f aca="false">J12*Assumpties!$C$38</f>
        <v>16</v>
      </c>
      <c r="K28" s="15" t="n">
        <f aca="false">K12*Assumpties!$C$38</f>
        <v>16</v>
      </c>
      <c r="L28" s="15" t="n">
        <f aca="false">L12*Assumpties!$C$38</f>
        <v>16</v>
      </c>
      <c r="M28" s="15" t="n">
        <f aca="false">M12*Assumpties!$C$38</f>
        <v>16</v>
      </c>
      <c r="N28" s="15" t="n">
        <f aca="false">N12*Assumpties!$C$38</f>
        <v>32</v>
      </c>
      <c r="O28" s="15" t="n">
        <f aca="false">O12*Assumpties!$C$38</f>
        <v>32</v>
      </c>
      <c r="P28" s="15" t="n">
        <f aca="false">P12*Assumpties!$C$38</f>
        <v>32</v>
      </c>
      <c r="Q28" s="15" t="n">
        <f aca="false">Q12*Assumpties!$C$38</f>
        <v>32</v>
      </c>
      <c r="R28" s="15" t="n">
        <f aca="false">R12*Assumpties!$C$38</f>
        <v>32</v>
      </c>
      <c r="S28" s="15" t="n">
        <f aca="false">S12*Assumpties!$C$38</f>
        <v>32</v>
      </c>
      <c r="T28" s="15" t="n">
        <f aca="false">T12*Assumpties!$C$38</f>
        <v>32</v>
      </c>
      <c r="U28" s="15" t="n">
        <f aca="false">U12*Assumpties!$C$38</f>
        <v>48</v>
      </c>
      <c r="V28" s="15" t="n">
        <f aca="false">V12*Assumpties!$C$38</f>
        <v>48</v>
      </c>
      <c r="W28" s="15" t="n">
        <f aca="false">W12*Assumpties!$C$38</f>
        <v>48</v>
      </c>
      <c r="X28" s="15" t="n">
        <f aca="false">X12*Assumpties!$C$38</f>
        <v>48</v>
      </c>
      <c r="Y28" s="15" t="n">
        <f aca="false">Y12*Assumpties!$C$38</f>
        <v>64</v>
      </c>
      <c r="Z28" s="15" t="n">
        <f aca="false">Z12*Assumpties!$C$38</f>
        <v>64</v>
      </c>
    </row>
    <row r="29" customFormat="false" ht="15" hidden="false" customHeight="false" outlineLevel="0" collapsed="false">
      <c r="B29" s="4" t="s">
        <v>149</v>
      </c>
      <c r="C29" s="16" t="n">
        <f aca="false">C20-C24-C25-C26-C27-C28</f>
        <v>-29.25442</v>
      </c>
      <c r="D29" s="16" t="n">
        <f aca="false">D20-D24-D25-D26-D27-D28</f>
        <v>-19.68634</v>
      </c>
      <c r="E29" s="16" t="n">
        <f aca="false">E20-E24-E25-E26-E27-E28</f>
        <v>-7.94076</v>
      </c>
      <c r="F29" s="16" t="n">
        <f aca="false">F20-F24-F25-F26-F27-F28</f>
        <v>1.62732</v>
      </c>
      <c r="G29" s="16" t="n">
        <f aca="false">G20-G24-G25-G26-G27-G28</f>
        <v>7.50011</v>
      </c>
      <c r="H29" s="16" t="n">
        <f aca="false">H20-H24-H25-H26-H27-H28</f>
        <v>13.3729</v>
      </c>
      <c r="I29" s="16" t="n">
        <f aca="false">I20-I24-I25-I26-I27-I28</f>
        <v>19.24569</v>
      </c>
      <c r="J29" s="16" t="n">
        <f aca="false">J20-J24-J25-J26-J27-J28</f>
        <v>25.11848</v>
      </c>
      <c r="K29" s="16" t="n">
        <f aca="false">K20-K24-K25-K26-K27-K28</f>
        <v>28.81377</v>
      </c>
      <c r="L29" s="16" t="n">
        <f aca="false">L20-L24-L25-L26-L27-L28</f>
        <v>34.68656</v>
      </c>
      <c r="M29" s="16" t="n">
        <f aca="false">M20-M24-M25-M26-M27-M28</f>
        <v>40.55935</v>
      </c>
      <c r="N29" s="16" t="n">
        <f aca="false">N20-N24-N25-N26-N27-N28</f>
        <v>40.00022</v>
      </c>
      <c r="O29" s="16" t="n">
        <f aca="false">O20-O24-O25-O26-O27-O28</f>
        <v>57.61859</v>
      </c>
      <c r="P29" s="16" t="n">
        <f aca="false">P20-P24-P25-P26-P27-P28</f>
        <v>67.18667</v>
      </c>
      <c r="Q29" s="16" t="n">
        <f aca="false">Q20-Q24-Q25-Q26-Q27-Q28</f>
        <v>78.93225</v>
      </c>
      <c r="R29" s="16" t="n">
        <f aca="false">R20-R24-R25-R26-R27-R28</f>
        <v>90.67783</v>
      </c>
      <c r="S29" s="16" t="n">
        <f aca="false">S20-S24-S25-S26-S27-S28</f>
        <v>100.24591</v>
      </c>
      <c r="T29" s="16" t="n">
        <f aca="false">T20-T24-T25-T26-T27-T28</f>
        <v>111.99149</v>
      </c>
      <c r="U29" s="16" t="n">
        <f aca="false">U20-U24-U25-U26-U27-U28</f>
        <v>117.30515</v>
      </c>
      <c r="V29" s="16" t="n">
        <f aca="false">V20-V24-V25-V26-V27-V28</f>
        <v>132.74602</v>
      </c>
      <c r="W29" s="16" t="n">
        <f aca="false">W20-W24-W25-W26-W27-W28</f>
        <v>150.36439</v>
      </c>
      <c r="X29" s="16" t="n">
        <f aca="false">X20-X24-X25-X26-X27-X28</f>
        <v>165.80526</v>
      </c>
      <c r="Y29" s="16" t="n">
        <f aca="false">Y20-Y24-Y25-Y26-Y27-Y28</f>
        <v>171.11892</v>
      </c>
      <c r="Z29" s="16" t="n">
        <f aca="false">Z20-Z24-Z25-Z26-Z27-Z28</f>
        <v>194.61008</v>
      </c>
    </row>
    <row r="30" customFormat="false" ht="15" hidden="false" customHeight="false" outlineLevel="0" collapsed="false">
      <c r="B30" s="8" t="s">
        <v>150</v>
      </c>
      <c r="C30" s="15" t="n">
        <f aca="false">C29</f>
        <v>-29.25442</v>
      </c>
      <c r="D30" s="15" t="n">
        <f aca="false">C30+D29</f>
        <v>-48.94076</v>
      </c>
      <c r="E30" s="15" t="n">
        <f aca="false">D30+E29</f>
        <v>-56.88152</v>
      </c>
      <c r="F30" s="15" t="n">
        <f aca="false">E30+F29</f>
        <v>-55.2542</v>
      </c>
      <c r="G30" s="15" t="n">
        <f aca="false">F30+G29</f>
        <v>-47.75409</v>
      </c>
      <c r="H30" s="15" t="n">
        <f aca="false">G30+H29</f>
        <v>-34.38119</v>
      </c>
      <c r="I30" s="15" t="n">
        <f aca="false">H30+I29</f>
        <v>-15.1355</v>
      </c>
      <c r="J30" s="15" t="n">
        <f aca="false">I30+J29</f>
        <v>9.98297999999998</v>
      </c>
      <c r="K30" s="15" t="n">
        <f aca="false">J30+K29</f>
        <v>38.79675</v>
      </c>
      <c r="L30" s="15" t="n">
        <f aca="false">K30+L29</f>
        <v>73.48331</v>
      </c>
      <c r="M30" s="15" t="n">
        <f aca="false">L30+M29</f>
        <v>114.04266</v>
      </c>
      <c r="N30" s="15" t="n">
        <f aca="false">M30+N29</f>
        <v>154.04288</v>
      </c>
      <c r="O30" s="15" t="n">
        <f aca="false">N30+O29</f>
        <v>211.66147</v>
      </c>
      <c r="P30" s="15" t="n">
        <f aca="false">O30+P29</f>
        <v>278.84814</v>
      </c>
      <c r="Q30" s="15" t="n">
        <f aca="false">P30+Q29</f>
        <v>357.78039</v>
      </c>
      <c r="R30" s="15" t="n">
        <f aca="false">Q30+R29</f>
        <v>448.45822</v>
      </c>
      <c r="S30" s="15" t="n">
        <f aca="false">R30+S29</f>
        <v>548.70413</v>
      </c>
      <c r="T30" s="15" t="n">
        <f aca="false">S30+T29</f>
        <v>660.69562</v>
      </c>
      <c r="U30" s="15" t="n">
        <f aca="false">T30+U29</f>
        <v>778.00077</v>
      </c>
      <c r="V30" s="15" t="n">
        <f aca="false">U30+V29</f>
        <v>910.74679</v>
      </c>
      <c r="W30" s="15" t="n">
        <f aca="false">V30+W29</f>
        <v>1061.11118</v>
      </c>
      <c r="X30" s="15" t="n">
        <f aca="false">W30+X29</f>
        <v>1226.91644</v>
      </c>
      <c r="Y30" s="15" t="n">
        <f aca="false">X30+Y29</f>
        <v>1398.03536</v>
      </c>
      <c r="Z30" s="15" t="n">
        <f aca="false">Y30+Z29</f>
        <v>1592.64544</v>
      </c>
    </row>
  </sheetData>
  <mergeCells count="5">
    <mergeCell ref="A1:Z1"/>
    <mergeCell ref="A5:Z5"/>
    <mergeCell ref="A11:Z11"/>
    <mergeCell ref="A17:Z17"/>
    <mergeCell ref="A23:Z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8"/>
  </cols>
  <sheetData>
    <row r="1" customFormat="false" ht="24" hidden="false" customHeight="true" outlineLevel="0" collapsed="false">
      <c r="A1" s="1" t="s">
        <v>194</v>
      </c>
      <c r="B1" s="1"/>
      <c r="C1" s="1"/>
      <c r="D1" s="1"/>
      <c r="E1" s="1"/>
      <c r="F1" s="1"/>
      <c r="G1" s="1"/>
    </row>
    <row r="2" customFormat="false" ht="32.8" hidden="false" customHeight="false" outlineLevel="0" collapsed="false">
      <c r="B2" s="5" t="s">
        <v>195</v>
      </c>
    </row>
    <row r="4" customFormat="false" ht="21.75" hidden="false" customHeight="true" outlineLevel="0" collapsed="false">
      <c r="A4" s="7"/>
      <c r="B4" s="7" t="s">
        <v>196</v>
      </c>
      <c r="C4" s="7" t="s">
        <v>197</v>
      </c>
      <c r="D4" s="7" t="s">
        <v>198</v>
      </c>
      <c r="E4" s="7" t="s">
        <v>199</v>
      </c>
      <c r="F4" s="7" t="s">
        <v>200</v>
      </c>
      <c r="G4" s="7" t="s">
        <v>201</v>
      </c>
    </row>
    <row r="5" customFormat="false" ht="15" hidden="false" customHeight="false" outlineLevel="0" collapsed="false">
      <c r="B5" s="4" t="s">
        <v>202</v>
      </c>
      <c r="C5" s="21" t="n">
        <f aca="false">'Model A — Current Tiers'!H20</f>
        <v>131.94</v>
      </c>
      <c r="D5" s="21" t="n">
        <f aca="false">'Model B — Hybride'!H24</f>
        <v>151.92</v>
      </c>
      <c r="E5" s="21" t="n">
        <f aca="false">'Model C — Credits-only'!H17</f>
        <v>29.97</v>
      </c>
      <c r="F5" s="21" t="n">
        <f aca="false">'Model D — Freemium + Pro+'!H23</f>
        <v>131.94</v>
      </c>
      <c r="G5" s="21" t="n">
        <f aca="false">'Model E — Outcome-based'!H20</f>
        <v>69.9</v>
      </c>
    </row>
    <row r="6" customFormat="false" ht="15" hidden="false" customHeight="false" outlineLevel="0" collapsed="false">
      <c r="B6" s="4" t="s">
        <v>203</v>
      </c>
      <c r="C6" s="21" t="n">
        <f aca="false">'Model A — Current Tiers'!N20</f>
        <v>153.93</v>
      </c>
      <c r="D6" s="21" t="n">
        <f aca="false">'Model B — Hybride'!N24</f>
        <v>183.9</v>
      </c>
      <c r="E6" s="21" t="n">
        <f aca="false">'Model C — Credits-only'!N17</f>
        <v>39.96</v>
      </c>
      <c r="F6" s="21" t="n">
        <f aca="false">'Model D — Freemium + Pro+'!N23</f>
        <v>180.94</v>
      </c>
      <c r="G6" s="21" t="n">
        <f aca="false">'Model E — Outcome-based'!N20</f>
        <v>124.82</v>
      </c>
    </row>
    <row r="7" customFormat="false" ht="15" hidden="false" customHeight="false" outlineLevel="0" collapsed="false">
      <c r="B7" s="4" t="s">
        <v>204</v>
      </c>
      <c r="C7" s="21" t="n">
        <f aca="false">'Model A — Current Tiers'!Z20</f>
        <v>461.79</v>
      </c>
      <c r="D7" s="21" t="n">
        <f aca="false">'Model B — Hybride'!Z24</f>
        <v>541.71</v>
      </c>
      <c r="E7" s="21" t="n">
        <f aca="false">'Model C — Credits-only'!Z17</f>
        <v>109.89</v>
      </c>
      <c r="F7" s="21" t="n">
        <f aca="false">'Model D — Freemium + Pro+'!Z23</f>
        <v>1006.88</v>
      </c>
      <c r="G7" s="21" t="n">
        <f aca="false">'Model E — Outcome-based'!Z20</f>
        <v>364.48</v>
      </c>
    </row>
    <row r="8" customFormat="false" ht="15" hidden="false" customHeight="false" outlineLevel="0" collapsed="false">
      <c r="B8" s="4" t="s">
        <v>205</v>
      </c>
      <c r="C8" s="21" t="n">
        <f aca="false">'Model A — Current Tiers'!N21</f>
        <v>1275.42</v>
      </c>
      <c r="D8" s="21" t="n">
        <f aca="false">'Model B — Hybride'!N25</f>
        <v>1485.21</v>
      </c>
      <c r="E8" s="21" t="n">
        <f aca="false">'Model C — Credits-only'!N18</f>
        <v>349.65</v>
      </c>
      <c r="F8" s="21" t="n">
        <f aca="false">'Model D — Freemium + Pro+'!N24</f>
        <v>1302.43</v>
      </c>
      <c r="G8" s="21" t="n">
        <f aca="false">'Model E — Outcome-based'!N21</f>
        <v>851.28</v>
      </c>
    </row>
    <row r="9" customFormat="false" ht="15" hidden="false" customHeight="false" outlineLevel="0" collapsed="false">
      <c r="B9" s="4" t="s">
        <v>206</v>
      </c>
      <c r="C9" s="21" t="n">
        <f aca="false">'Model A — Current Tiers'!Z21</f>
        <v>5079.69</v>
      </c>
      <c r="D9" s="21" t="n">
        <f aca="false">'Model B — Hybride'!Z25</f>
        <v>5978.79</v>
      </c>
      <c r="E9" s="21" t="n">
        <f aca="false">'Model C — Credits-only'!Z18</f>
        <v>1228.77</v>
      </c>
      <c r="F9" s="21" t="n">
        <f aca="false">'Model D — Freemium + Pro+'!Z24</f>
        <v>7328.5</v>
      </c>
      <c r="G9" s="21" t="n">
        <f aca="false">'Model E — Outcome-based'!Z21</f>
        <v>3744.64</v>
      </c>
    </row>
    <row r="10" customFormat="false" ht="15" hidden="false" customHeight="false" outlineLevel="0" collapsed="false">
      <c r="B10" s="4" t="s">
        <v>207</v>
      </c>
      <c r="C10" s="21" t="n">
        <f aca="false">'Model A — Current Tiers'!N29</f>
        <v>790.93282</v>
      </c>
      <c r="D10" s="21" t="n">
        <f aca="false">'Model B — Hybride'!N33</f>
        <v>989.38891</v>
      </c>
      <c r="E10" s="21" t="n">
        <f aca="false">'Model C — Credits-only'!N26</f>
        <v>-78.03985</v>
      </c>
      <c r="F10" s="21" t="n">
        <f aca="false">'Model D — Freemium + Pro+'!N32</f>
        <v>817.15953</v>
      </c>
      <c r="G10" s="21" t="n">
        <f aca="false">'Model E — Outcome-based'!N30</f>
        <v>154.04288</v>
      </c>
    </row>
    <row r="11" customFormat="false" ht="15" hidden="false" customHeight="false" outlineLevel="0" collapsed="false">
      <c r="B11" s="4" t="s">
        <v>208</v>
      </c>
      <c r="C11" s="21" t="n">
        <f aca="false">'Model A — Current Tiers'!Z29</f>
        <v>3799.12899</v>
      </c>
      <c r="D11" s="21" t="n">
        <f aca="false">'Model B — Hybride'!Z33</f>
        <v>4649.65509</v>
      </c>
      <c r="E11" s="21" t="n">
        <f aca="false">'Model C — Credits-only'!Z26</f>
        <v>185.18567</v>
      </c>
      <c r="F11" s="21" t="n">
        <f aca="false">'Model D — Freemium + Pro+'!Z32</f>
        <v>5975.2235</v>
      </c>
      <c r="G11" s="21" t="n">
        <f aca="false">'Model E — Outcome-based'!Z30</f>
        <v>1592.64544</v>
      </c>
    </row>
    <row r="12" customFormat="false" ht="15" hidden="false" customHeight="false" outlineLevel="0" collapsed="false">
      <c r="B12" s="4" t="s">
        <v>209</v>
      </c>
      <c r="C12" s="22" t="n">
        <f aca="false">IF('Model A — Current Tiers'!Z20=0,0,'Model A — Current Tiers'!Z28/'Model A — Current Tiers'!Z20)</f>
        <v>0.813460858831937</v>
      </c>
      <c r="D12" s="22" t="n">
        <f aca="false">IF('Model B — Hybride'!Z24=0,0,'Model B — Hybride'!Z32/'Model B — Hybride'!Z24)</f>
        <v>0.833011039116871</v>
      </c>
      <c r="E12" s="22" t="n">
        <f aca="false">IF('Model C — Credits-only'!Z17=0,0,'Model C — Credits-only'!Z25/'Model C — Credits-only'!Z17)</f>
        <v>0.412714441714442</v>
      </c>
      <c r="F12" s="22" t="n">
        <f aca="false">IF('Model D — Freemium + Pro+'!Z23=0,0,'Model D — Freemium + Pro+'!Z31/'Model D — Freemium + Pro+'!Z23)</f>
        <v>0.889808596853647</v>
      </c>
      <c r="G12" s="22" t="n">
        <f aca="false">IF('Model E — Outcome-based'!Z20=0,0,'Model E — Outcome-based'!Z29/'Model E — Outcome-based'!Z20)</f>
        <v>0.533938981562774</v>
      </c>
    </row>
    <row r="14" customFormat="false" ht="18" hidden="false" customHeight="true" outlineLevel="0" collapsed="false">
      <c r="A14" s="6" t="s">
        <v>210</v>
      </c>
      <c r="B14" s="6"/>
      <c r="C14" s="6"/>
      <c r="D14" s="6"/>
      <c r="E14" s="6"/>
      <c r="F14" s="6"/>
      <c r="G14" s="6"/>
    </row>
    <row r="15" customFormat="false" ht="21.75" hidden="false" customHeight="true" outlineLevel="0" collapsed="false">
      <c r="A15" s="7"/>
      <c r="B15" s="7" t="s">
        <v>211</v>
      </c>
      <c r="C15" s="7" t="s">
        <v>212</v>
      </c>
      <c r="D15" s="7"/>
      <c r="E15" s="7"/>
      <c r="F15" s="7"/>
      <c r="G15" s="7"/>
    </row>
    <row r="16" customFormat="false" ht="23.85" hidden="false" customHeight="true" outlineLevel="0" collapsed="false">
      <c r="B16" s="4" t="s">
        <v>213</v>
      </c>
      <c r="C16" s="23" t="s">
        <v>214</v>
      </c>
      <c r="D16" s="23"/>
      <c r="E16" s="23"/>
      <c r="F16" s="23"/>
      <c r="G16" s="23"/>
    </row>
    <row r="17" customFormat="false" ht="15" hidden="false" customHeight="true" outlineLevel="0" collapsed="false">
      <c r="B17" s="4" t="s">
        <v>215</v>
      </c>
      <c r="C17" s="23" t="s">
        <v>216</v>
      </c>
      <c r="D17" s="23"/>
      <c r="E17" s="23"/>
      <c r="F17" s="23"/>
      <c r="G17" s="23"/>
    </row>
    <row r="18" customFormat="false" ht="15" hidden="false" customHeight="true" outlineLevel="0" collapsed="false">
      <c r="B18" s="4" t="s">
        <v>217</v>
      </c>
      <c r="C18" s="23" t="s">
        <v>218</v>
      </c>
      <c r="D18" s="23"/>
      <c r="E18" s="23"/>
      <c r="F18" s="23"/>
      <c r="G18" s="23"/>
    </row>
    <row r="19" customFormat="false" ht="23.85" hidden="false" customHeight="true" outlineLevel="0" collapsed="false">
      <c r="B19" s="4" t="s">
        <v>219</v>
      </c>
      <c r="C19" s="23" t="s">
        <v>220</v>
      </c>
      <c r="D19" s="23"/>
      <c r="E19" s="23"/>
      <c r="F19" s="23"/>
      <c r="G19" s="23"/>
    </row>
    <row r="20" customFormat="false" ht="15" hidden="false" customHeight="true" outlineLevel="0" collapsed="false">
      <c r="B20" s="4" t="s">
        <v>221</v>
      </c>
      <c r="C20" s="23" t="s">
        <v>222</v>
      </c>
      <c r="D20" s="23"/>
      <c r="E20" s="23"/>
      <c r="F20" s="23"/>
      <c r="G20" s="23"/>
    </row>
  </sheetData>
  <mergeCells count="7">
    <mergeCell ref="A1:G1"/>
    <mergeCell ref="A14:G14"/>
    <mergeCell ref="C16:G16"/>
    <mergeCell ref="C17:G17"/>
    <mergeCell ref="C18:G18"/>
    <mergeCell ref="C19:G19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0"/>
  </cols>
  <sheetData>
    <row r="1" customFormat="false" ht="24" hidden="false" customHeight="true" outlineLevel="0" collapsed="false">
      <c r="A1" s="1" t="s">
        <v>223</v>
      </c>
      <c r="B1" s="1"/>
      <c r="C1" s="1"/>
      <c r="D1" s="1"/>
      <c r="E1" s="1"/>
    </row>
    <row r="2" customFormat="false" ht="22.35" hidden="false" customHeight="false" outlineLevel="0" collapsed="false">
      <c r="B2" s="5" t="s">
        <v>224</v>
      </c>
    </row>
    <row r="4" customFormat="false" ht="18" hidden="false" customHeight="true" outlineLevel="0" collapsed="false">
      <c r="A4" s="6" t="s">
        <v>225</v>
      </c>
      <c r="B4" s="6"/>
      <c r="C4" s="6"/>
      <c r="D4" s="6"/>
      <c r="E4" s="6"/>
    </row>
    <row r="5" customFormat="false" ht="23.85" hidden="false" customHeight="true" outlineLevel="0" collapsed="false">
      <c r="B5" s="4" t="s">
        <v>226</v>
      </c>
      <c r="C5" s="23" t="s">
        <v>227</v>
      </c>
      <c r="D5" s="23"/>
      <c r="E5" s="23"/>
    </row>
    <row r="6" customFormat="false" ht="23.85" hidden="false" customHeight="true" outlineLevel="0" collapsed="false">
      <c r="B6" s="4" t="s">
        <v>228</v>
      </c>
      <c r="C6" s="23" t="s">
        <v>229</v>
      </c>
      <c r="D6" s="23"/>
      <c r="E6" s="23"/>
    </row>
    <row r="7" customFormat="false" ht="23.85" hidden="false" customHeight="true" outlineLevel="0" collapsed="false">
      <c r="B7" s="4" t="s">
        <v>230</v>
      </c>
      <c r="C7" s="23" t="s">
        <v>231</v>
      </c>
      <c r="D7" s="23"/>
      <c r="E7" s="23"/>
    </row>
    <row r="8" customFormat="false" ht="23.85" hidden="false" customHeight="true" outlineLevel="0" collapsed="false">
      <c r="B8" s="4" t="s">
        <v>232</v>
      </c>
      <c r="C8" s="23" t="s">
        <v>233</v>
      </c>
      <c r="D8" s="23"/>
      <c r="E8" s="23"/>
    </row>
    <row r="10" customFormat="false" ht="18" hidden="false" customHeight="true" outlineLevel="0" collapsed="false">
      <c r="A10" s="6" t="s">
        <v>234</v>
      </c>
      <c r="B10" s="6"/>
      <c r="C10" s="6"/>
      <c r="D10" s="6"/>
      <c r="E10" s="6"/>
    </row>
    <row r="11" customFormat="false" ht="21.75" hidden="false" customHeight="true" outlineLevel="0" collapsed="false">
      <c r="A11" s="7"/>
      <c r="B11" s="7" t="s">
        <v>33</v>
      </c>
      <c r="C11" s="7" t="s">
        <v>34</v>
      </c>
      <c r="D11" s="7" t="s">
        <v>35</v>
      </c>
      <c r="E11" s="7" t="s">
        <v>68</v>
      </c>
    </row>
    <row r="12" customFormat="false" ht="15" hidden="false" customHeight="false" outlineLevel="0" collapsed="false">
      <c r="B12" s="8" t="s">
        <v>235</v>
      </c>
      <c r="C12" s="24" t="n">
        <f aca="false">'Model B — Hybride'!H7</f>
        <v>220</v>
      </c>
      <c r="D12" s="2" t="s">
        <v>41</v>
      </c>
      <c r="E12" s="5" t="s">
        <v>236</v>
      </c>
    </row>
    <row r="13" customFormat="false" ht="15" hidden="false" customHeight="false" outlineLevel="0" collapsed="false">
      <c r="B13" s="8" t="s">
        <v>237</v>
      </c>
      <c r="C13" s="11" t="n">
        <v>0.15</v>
      </c>
      <c r="D13" s="2" t="s">
        <v>47</v>
      </c>
      <c r="E13" s="5" t="s">
        <v>238</v>
      </c>
    </row>
    <row r="14" customFormat="false" ht="15" hidden="false" customHeight="false" outlineLevel="0" collapsed="false">
      <c r="B14" s="8" t="s">
        <v>239</v>
      </c>
      <c r="C14" s="14" t="n">
        <f aca="false">ROUND(C12*C13,0)</f>
        <v>33</v>
      </c>
      <c r="D14" s="2" t="s">
        <v>240</v>
      </c>
      <c r="E14" s="5" t="s">
        <v>241</v>
      </c>
    </row>
    <row r="15" customFormat="false" ht="15" hidden="false" customHeight="false" outlineLevel="0" collapsed="false">
      <c r="B15" s="8" t="s">
        <v>242</v>
      </c>
      <c r="C15" s="9" t="n">
        <v>1</v>
      </c>
      <c r="D15" s="2" t="s">
        <v>243</v>
      </c>
      <c r="E15" s="5" t="s">
        <v>244</v>
      </c>
    </row>
    <row r="16" customFormat="false" ht="15" hidden="false" customHeight="false" outlineLevel="0" collapsed="false">
      <c r="B16" s="8" t="s">
        <v>245</v>
      </c>
      <c r="C16" s="13" t="n">
        <v>0.05</v>
      </c>
      <c r="D16" s="2" t="s">
        <v>89</v>
      </c>
      <c r="E16" s="5" t="s">
        <v>246</v>
      </c>
    </row>
    <row r="17" customFormat="false" ht="15" hidden="false" customHeight="false" outlineLevel="0" collapsed="false">
      <c r="B17" s="8" t="s">
        <v>247</v>
      </c>
      <c r="C17" s="17" t="n">
        <f aca="false">C14*C15*C16</f>
        <v>1.65</v>
      </c>
      <c r="D17" s="2" t="s">
        <v>89</v>
      </c>
      <c r="E17" s="5" t="s">
        <v>241</v>
      </c>
    </row>
    <row r="18" customFormat="false" ht="15" hidden="false" customHeight="false" outlineLevel="0" collapsed="false">
      <c r="B18" s="8" t="s">
        <v>248</v>
      </c>
      <c r="C18" s="11" t="n">
        <v>0.3</v>
      </c>
      <c r="D18" s="2" t="s">
        <v>47</v>
      </c>
      <c r="E18" s="5" t="s">
        <v>249</v>
      </c>
    </row>
    <row r="19" customFormat="false" ht="15" hidden="false" customHeight="false" outlineLevel="0" collapsed="false">
      <c r="B19" s="8" t="s">
        <v>250</v>
      </c>
      <c r="C19" s="14" t="n">
        <f aca="false">ROUND(C14*Assumpties!$C$10*C18,0)</f>
        <v>0</v>
      </c>
      <c r="D19" s="2" t="s">
        <v>41</v>
      </c>
      <c r="E19" s="5" t="s">
        <v>241</v>
      </c>
    </row>
    <row r="20" customFormat="false" ht="15" hidden="false" customHeight="false" outlineLevel="0" collapsed="false">
      <c r="B20" s="8" t="s">
        <v>251</v>
      </c>
      <c r="C20" s="15" t="n">
        <f aca="false">C19*Assumpties!$C$24</f>
        <v>0</v>
      </c>
      <c r="D20" s="2" t="s">
        <v>89</v>
      </c>
      <c r="E20" s="5" t="s">
        <v>241</v>
      </c>
    </row>
    <row r="21" customFormat="false" ht="15" hidden="false" customHeight="false" outlineLevel="0" collapsed="false">
      <c r="B21" s="8" t="s">
        <v>252</v>
      </c>
      <c r="C21" s="19" t="n">
        <f aca="false">IF(C17=0,0,C20/C17)</f>
        <v>0</v>
      </c>
      <c r="D21" s="2" t="s">
        <v>253</v>
      </c>
      <c r="E21" s="5" t="s">
        <v>254</v>
      </c>
    </row>
    <row r="23" customFormat="false" ht="18" hidden="false" customHeight="true" outlineLevel="0" collapsed="false">
      <c r="A23" s="6" t="s">
        <v>212</v>
      </c>
      <c r="B23" s="6"/>
      <c r="C23" s="6"/>
      <c r="D23" s="6"/>
      <c r="E23" s="6"/>
    </row>
    <row r="24" customFormat="false" ht="15" hidden="false" customHeight="true" outlineLevel="0" collapsed="false">
      <c r="B24" s="23" t="s">
        <v>255</v>
      </c>
      <c r="C24" s="23"/>
      <c r="D24" s="23"/>
      <c r="E24" s="23"/>
    </row>
    <row r="25" customFormat="false" ht="15" hidden="false" customHeight="true" outlineLevel="0" collapsed="false">
      <c r="B25" s="23" t="s">
        <v>256</v>
      </c>
      <c r="C25" s="23"/>
      <c r="D25" s="23"/>
      <c r="E25" s="23"/>
    </row>
    <row r="26" customFormat="false" ht="23.85" hidden="false" customHeight="true" outlineLevel="0" collapsed="false">
      <c r="B26" s="23" t="s">
        <v>257</v>
      </c>
      <c r="C26" s="23"/>
      <c r="D26" s="23"/>
      <c r="E26" s="23"/>
    </row>
    <row r="27" customFormat="false" ht="15" hidden="false" customHeight="true" outlineLevel="0" collapsed="false">
      <c r="B27" s="23" t="s">
        <v>258</v>
      </c>
      <c r="C27" s="23"/>
      <c r="D27" s="23"/>
      <c r="E27" s="23"/>
    </row>
    <row r="28" customFormat="false" ht="15" hidden="false" customHeight="true" outlineLevel="0" collapsed="false">
      <c r="B28" s="23" t="s">
        <v>259</v>
      </c>
      <c r="C28" s="23"/>
      <c r="D28" s="23"/>
      <c r="E28" s="23"/>
    </row>
  </sheetData>
  <mergeCells count="13">
    <mergeCell ref="A1:E1"/>
    <mergeCell ref="A4:E4"/>
    <mergeCell ref="C5:E5"/>
    <mergeCell ref="C6:E6"/>
    <mergeCell ref="C7:E7"/>
    <mergeCell ref="C8:E8"/>
    <mergeCell ref="A10:E10"/>
    <mergeCell ref="A23:E23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2026-05-26T12:39:06Z</dcterms:created>
  <dc:creator>openpyxl</dc:creator>
  <dc:description/>
  <dc:language>en-US</dc:language>
  <cp:lastModifiedBy/>
  <dcterms:modified xsi:type="dcterms:W3CDTF">2026-05-26T12:39:06Z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